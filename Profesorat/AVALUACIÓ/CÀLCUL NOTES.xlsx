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282" documentId="13_ncr:1_{3A8E80F0-E824-4B97-BFAF-1DA9BC076285}" xr6:coauthVersionLast="47" xr6:coauthVersionMax="47" xr10:uidLastSave="{684D56D4-37F1-4BA2-AFCD-F0C7DEA25F07}"/>
  <bookViews>
    <workbookView xWindow="-120" yWindow="-120" windowWidth="20730" windowHeight="11160" firstSheet="1" xr2:uid="{10C5740D-55D2-4A57-A9C8-E3713932E762}"/>
  </bookViews>
  <sheets>
    <sheet name="CE SAs" sheetId="5" r:id="rId1"/>
    <sheet name="CE" sheetId="11" r:id="rId2"/>
    <sheet name="INSTRUMENTS I CRITERIS" sheetId="15" r:id="rId3"/>
    <sheet name="PONDERACIONS" sheetId="1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1" l="1"/>
  <c r="C51" i="14"/>
  <c r="C48" i="14"/>
  <c r="C47" i="14"/>
  <c r="C42" i="14"/>
  <c r="C41" i="14"/>
  <c r="C40" i="14"/>
  <c r="C34" i="14"/>
  <c r="C33" i="14"/>
  <c r="C32" i="14"/>
  <c r="C31" i="14"/>
  <c r="C30" i="14"/>
  <c r="C25" i="14"/>
  <c r="C24" i="14"/>
  <c r="C23" i="14"/>
  <c r="C22" i="14"/>
  <c r="C21" i="14"/>
  <c r="C26" i="14" s="1"/>
  <c r="C16" i="14"/>
  <c r="C15" i="14"/>
  <c r="C14" i="14"/>
  <c r="C13" i="14"/>
  <c r="C12" i="14"/>
  <c r="C5" i="14"/>
  <c r="C4" i="14"/>
  <c r="C8" i="11"/>
  <c r="C7" i="11"/>
  <c r="C5" i="11"/>
  <c r="C3" i="11"/>
  <c r="R17" i="11"/>
  <c r="I17" i="11"/>
  <c r="O16" i="11"/>
  <c r="I16" i="11"/>
  <c r="C17" i="11"/>
  <c r="O15" i="11"/>
  <c r="O17" i="11" s="1"/>
  <c r="I15" i="11"/>
  <c r="R14" i="11"/>
  <c r="O14" i="11"/>
  <c r="I14" i="11"/>
  <c r="C14" i="11"/>
  <c r="R13" i="11"/>
  <c r="R18" i="11" s="1"/>
  <c r="L18" i="11"/>
  <c r="I13" i="11"/>
  <c r="I18" i="11" s="1"/>
  <c r="F18" i="11"/>
  <c r="C8" i="14" l="1"/>
  <c r="C17" i="14"/>
  <c r="C52" i="14"/>
  <c r="C35" i="14"/>
  <c r="C43" i="14"/>
</calcChain>
</file>

<file path=xl/sharedStrings.xml><?xml version="1.0" encoding="utf-8"?>
<sst xmlns="http://schemas.openxmlformats.org/spreadsheetml/2006/main" count="751" uniqueCount="205">
  <si>
    <t>Tecnologia 4t ESO</t>
  </si>
  <si>
    <r>
      <t xml:space="preserve">Curs: </t>
    </r>
    <r>
      <rPr>
        <sz val="12"/>
        <color theme="1"/>
        <rFont val="Aptos"/>
        <family val="2"/>
      </rPr>
      <t>2025/2026</t>
    </r>
  </si>
  <si>
    <t>CE1</t>
  </si>
  <si>
    <t>CE2</t>
  </si>
  <si>
    <t>CE3</t>
  </si>
  <si>
    <t>CE4</t>
  </si>
  <si>
    <t>CE5</t>
  </si>
  <si>
    <t>CE6</t>
  </si>
  <si>
    <t>Trimestre</t>
  </si>
  <si>
    <t>Classes</t>
  </si>
  <si>
    <t>Situacions d'aprenentatge (SA)</t>
  </si>
  <si>
    <t>1r</t>
  </si>
  <si>
    <t>SA1 - Ecohackers</t>
  </si>
  <si>
    <t>X</t>
  </si>
  <si>
    <t>SA2 - Caixons de fusta reciclada</t>
  </si>
  <si>
    <t>SA 3 - Reixes de drenatge</t>
  </si>
  <si>
    <t>2n</t>
  </si>
  <si>
    <t>SA 4 - L'hivernacle</t>
  </si>
  <si>
    <t>SA 5 - Disseny i muntatge PCB</t>
  </si>
  <si>
    <t>3r</t>
  </si>
  <si>
    <t>SA 6 - Hort IoT</t>
  </si>
  <si>
    <t>COMPETÈNCIES ESPECÍFIQUES</t>
  </si>
  <si>
    <t>% DE NOTA DE LES SA</t>
  </si>
  <si>
    <t>TOTAL SA</t>
  </si>
  <si>
    <t>COMPETÈNCIA ESPECÍFICA 1</t>
  </si>
  <si>
    <t>COMPETÈNCIA ESPECÍFICA 2</t>
  </si>
  <si>
    <t>COMPETÈNCIA ESPECÍFICA 3</t>
  </si>
  <si>
    <t>COMPETÈNCIA ESPECÍFICA 4</t>
  </si>
  <si>
    <t>COMPETÈNCIA ESPECÍFICA 5</t>
  </si>
  <si>
    <t>COMPETÈNCIA ESPECÍFICA 6</t>
  </si>
  <si>
    <t>CRITERI D'AVALUACIÓ</t>
  </si>
  <si>
    <t>% DE LA NOTA DE LA CE</t>
  </si>
  <si>
    <t xml:space="preserve">CRITERI D'AVALUACIÓ </t>
  </si>
  <si>
    <t>1.1</t>
  </si>
  <si>
    <t>2.1</t>
  </si>
  <si>
    <t>3.1</t>
  </si>
  <si>
    <t>4.1</t>
  </si>
  <si>
    <t>5.1</t>
  </si>
  <si>
    <t>6.1</t>
  </si>
  <si>
    <t>1.2</t>
  </si>
  <si>
    <t>2.2</t>
  </si>
  <si>
    <t>3.2</t>
  </si>
  <si>
    <t>4.2</t>
  </si>
  <si>
    <t>5.2</t>
  </si>
  <si>
    <t>6.2</t>
  </si>
  <si>
    <t>1.3</t>
  </si>
  <si>
    <t>2.3</t>
  </si>
  <si>
    <t>3.3</t>
  </si>
  <si>
    <t>4.3</t>
  </si>
  <si>
    <t>5.3</t>
  </si>
  <si>
    <t>6.3</t>
  </si>
  <si>
    <t>1.4</t>
  </si>
  <si>
    <t>2.4</t>
  </si>
  <si>
    <t>3.4</t>
  </si>
  <si>
    <t>4.4</t>
  </si>
  <si>
    <t>5.4</t>
  </si>
  <si>
    <t>6.4</t>
  </si>
  <si>
    <t>TOTAL CE1</t>
  </si>
  <si>
    <t>2.5</t>
  </si>
  <si>
    <t>3.5</t>
  </si>
  <si>
    <t>4.5</t>
  </si>
  <si>
    <t>TOTAL CE5</t>
  </si>
  <si>
    <t>6.5</t>
  </si>
  <si>
    <t>TOTAL CE2</t>
  </si>
  <si>
    <t>TOTAL CE3</t>
  </si>
  <si>
    <t>TOTAL CE4</t>
  </si>
  <si>
    <t>TOTAL CE6</t>
  </si>
  <si>
    <t>SA 1 - Ecohackers</t>
  </si>
  <si>
    <t>SA 2 - Caixons de fusta reciclada</t>
  </si>
  <si>
    <t>SA 3 - Disseny i impressió 3D (reixa drenatge)</t>
  </si>
  <si>
    <t>Comp. Esp.</t>
  </si>
  <si>
    <t>Criteris Avaluació</t>
  </si>
  <si>
    <t>1.1, 1.2,1.3,1.4</t>
  </si>
  <si>
    <t>1.3,1.4</t>
  </si>
  <si>
    <t>1.1, 1.2,1.4</t>
  </si>
  <si>
    <t>2.2,2.5</t>
  </si>
  <si>
    <t>2.1, 2.2, 2.3, 2.4, 2.5</t>
  </si>
  <si>
    <t>2.1, 2.2</t>
  </si>
  <si>
    <t>2.1, 2.2, 2.3</t>
  </si>
  <si>
    <t>3.3,3.5</t>
  </si>
  <si>
    <t>3.1, 3.2, 3.3, 3.4, 3.5</t>
  </si>
  <si>
    <t>3.1, 3.2</t>
  </si>
  <si>
    <t>3.1, 3.3</t>
  </si>
  <si>
    <t xml:space="preserve">6.1, 6.2, 6.3, 6.4, 6.5 </t>
  </si>
  <si>
    <t>5.1, 5.2, 5.3</t>
  </si>
  <si>
    <t>4.1, 4.2</t>
  </si>
  <si>
    <t>4.1, 4.2, 4.3, 4.4, 4.5</t>
  </si>
  <si>
    <t>5.1, 5.2</t>
  </si>
  <si>
    <t>SA 1</t>
  </si>
  <si>
    <t>SA 2</t>
  </si>
  <si>
    <t>SA 3</t>
  </si>
  <si>
    <t>SA 4</t>
  </si>
  <si>
    <t>SA 5</t>
  </si>
  <si>
    <t>SA 6</t>
  </si>
  <si>
    <t>Evidències</t>
  </si>
  <si>
    <t>Instrument d'avaluació</t>
  </si>
  <si>
    <t>OB SA1</t>
  </si>
  <si>
    <t>Observació en classe</t>
  </si>
  <si>
    <t>PL SA2</t>
  </si>
  <si>
    <t>Plànol a mà alçada del caixó</t>
  </si>
  <si>
    <t>FI SA3</t>
  </si>
  <si>
    <t>Fitxa d'anàlisi de la reixa</t>
  </si>
  <si>
    <t>PF SA4</t>
  </si>
  <si>
    <t>Portfolio</t>
  </si>
  <si>
    <t>MT SA5</t>
  </si>
  <si>
    <t xml:space="preserve">Memòria técnica </t>
  </si>
  <si>
    <t>P1 SA6</t>
  </si>
  <si>
    <t>Pràctica 1</t>
  </si>
  <si>
    <t>PF SA1</t>
  </si>
  <si>
    <t>Porfolio</t>
  </si>
  <si>
    <t>GA SA2</t>
  </si>
  <si>
    <t>Diagrama de Gantt i rols d'equip</t>
  </si>
  <si>
    <t>PL SA3</t>
  </si>
  <si>
    <t>Plànol a mà alçada de la reixa</t>
  </si>
  <si>
    <t>PR SA5</t>
  </si>
  <si>
    <t>Producte final</t>
  </si>
  <si>
    <t>P2 SA6</t>
  </si>
  <si>
    <t>Pràctica 2</t>
  </si>
  <si>
    <t>IF SA1</t>
  </si>
  <si>
    <t>Infografia</t>
  </si>
  <si>
    <t>FI SA2</t>
  </si>
  <si>
    <t>Fitxa d'inventari i aprovisionament</t>
  </si>
  <si>
    <t>GA SA3</t>
  </si>
  <si>
    <t>EP SA5</t>
  </si>
  <si>
    <t>Evidències procedimentals (Observació)</t>
  </si>
  <si>
    <t>P3 SA6</t>
  </si>
  <si>
    <t>Pràctica 3</t>
  </si>
  <si>
    <t>EO SA1</t>
  </si>
  <si>
    <t>Exposició oral en grup</t>
  </si>
  <si>
    <t>DS SA2</t>
  </si>
  <si>
    <t>Diari de sessions</t>
  </si>
  <si>
    <t>TC SA3</t>
  </si>
  <si>
    <t>Model 3D ThinkerCAD</t>
  </si>
  <si>
    <t>P4 SA6</t>
  </si>
  <si>
    <t>Pràctica 4</t>
  </si>
  <si>
    <t>OB SA2</t>
  </si>
  <si>
    <t>Observació directa del docent</t>
  </si>
  <si>
    <t>FS SA3</t>
  </si>
  <si>
    <t>Fitxer STL exportat</t>
  </si>
  <si>
    <t>P5 SA6</t>
  </si>
  <si>
    <t>Pràctica 5</t>
  </si>
  <si>
    <t>PF SA2</t>
  </si>
  <si>
    <t>Porducte final: caixó construït</t>
  </si>
  <si>
    <t>PR SA3</t>
  </si>
  <si>
    <t>Peer review model ThinkerCAD</t>
  </si>
  <si>
    <t>P6 SA6</t>
  </si>
  <si>
    <t>Pràctica 6</t>
  </si>
  <si>
    <t>CL SA2</t>
  </si>
  <si>
    <t>Checklist de control de qualitat</t>
  </si>
  <si>
    <t>CC SA3</t>
  </si>
  <si>
    <t>Configuració d'Ultimaker Cura</t>
  </si>
  <si>
    <t>P7 SA6</t>
  </si>
  <si>
    <t>Pràctica 7</t>
  </si>
  <si>
    <t>EPI SA2</t>
  </si>
  <si>
    <t>Full de seguretat i registre</t>
  </si>
  <si>
    <t>FM SA3</t>
  </si>
  <si>
    <t>Fitxa monitoratge impressió 3D</t>
  </si>
  <si>
    <t>P8 SA6</t>
  </si>
  <si>
    <t>Pràctica 8</t>
  </si>
  <si>
    <t>MT SA2</t>
  </si>
  <si>
    <t>Memòria tècnica del projecte</t>
  </si>
  <si>
    <t>RX SA 3</t>
  </si>
  <si>
    <t>Peça impresa i taula de mesures</t>
  </si>
  <si>
    <t>PRE SA6</t>
  </si>
  <si>
    <t>Presentació</t>
  </si>
  <si>
    <t>PO SA2</t>
  </si>
  <si>
    <t>Presentació oral final</t>
  </si>
  <si>
    <t>PC SA3</t>
  </si>
  <si>
    <t>Proves funcionals al caixó SA2</t>
  </si>
  <si>
    <t>AC SA2</t>
  </si>
  <si>
    <t>Autoavaluació i coavaluació</t>
  </si>
  <si>
    <t>MT SA3</t>
  </si>
  <si>
    <t>Memòria tècnica del projecte 3D</t>
  </si>
  <si>
    <t>PO SA3</t>
  </si>
  <si>
    <t>AC SA3</t>
  </si>
  <si>
    <t>EVIDÈNCIES SA1</t>
  </si>
  <si>
    <t>EVIDÈNCIES SA2</t>
  </si>
  <si>
    <t>EVIDÈNCIES SA3</t>
  </si>
  <si>
    <t>EV. SA4</t>
  </si>
  <si>
    <t>EV. SA5</t>
  </si>
  <si>
    <t>EVIDÈNCIES SA6</t>
  </si>
  <si>
    <t>CRITERI AVALUACIÓ</t>
  </si>
  <si>
    <t>Aconseguit</t>
  </si>
  <si>
    <t>FX SA1</t>
  </si>
  <si>
    <t>PR SA 3</t>
  </si>
  <si>
    <t>RX SA3</t>
  </si>
  <si>
    <t>PC SA 3</t>
  </si>
  <si>
    <t>MT SA 3</t>
  </si>
  <si>
    <t>X/n</t>
  </si>
  <si>
    <t>(X/n) / 4</t>
  </si>
  <si>
    <t>EVIDÈNCIES SA 1</t>
  </si>
  <si>
    <t>EVIDÈNCIES SA 2</t>
  </si>
  <si>
    <t>EVIDÈNCIES SA 3</t>
  </si>
  <si>
    <t>EV. SA 4</t>
  </si>
  <si>
    <t>EVID. SA 5</t>
  </si>
  <si>
    <t>EVIDÈNCIES SA 6</t>
  </si>
  <si>
    <t>OBSA1</t>
  </si>
  <si>
    <t>PF SA5</t>
  </si>
  <si>
    <t>(X/n) / 5</t>
  </si>
  <si>
    <t>EV.SA4</t>
  </si>
  <si>
    <t>EV. SA6</t>
  </si>
  <si>
    <t>PFSA4</t>
  </si>
  <si>
    <t>TC SA2</t>
  </si>
  <si>
    <t>EVID. SA 3</t>
  </si>
  <si>
    <t>OB SA5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</si>
</sst>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i/>
      <sz val="11"/>
      <color theme="1"/>
      <name val="Aptos"/>
      <family val="2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Aptos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b/>
      <sz val="12"/>
      <color rgb="FF000000"/>
      <name val="Aptos Narrow"/>
      <family val="2"/>
    </font>
    <font>
      <b/>
      <sz val="12"/>
      <color rgb="FF000000"/>
      <name val="Aptos"/>
      <family val="2"/>
    </font>
    <font>
      <b/>
      <sz val="11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2"/>
      <color rgb="FF000000"/>
      <name val="Aptos"/>
      <family val="2"/>
    </font>
    <font>
      <b/>
      <sz val="11"/>
      <color rgb="FF000000"/>
      <name val="Aptos"/>
      <family val="2"/>
      <charset val="1"/>
    </font>
    <font>
      <sz val="11"/>
      <color rgb="FF000000"/>
      <name val="Aptos"/>
      <family val="2"/>
      <charset val="1"/>
    </font>
    <font>
      <sz val="11"/>
      <color rgb="FF000000"/>
      <name val="Aptos"/>
      <charset val="1"/>
    </font>
    <font>
      <b/>
      <sz val="11"/>
      <color theme="1"/>
      <name val="Aptos"/>
    </font>
    <font>
      <b/>
      <sz val="11"/>
      <color rgb="FF000000"/>
      <name val="Aptos"/>
      <charset val="1"/>
    </font>
    <font>
      <sz val="11"/>
      <color theme="1"/>
      <name val="Aptos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9D9D9"/>
        <bgColor rgb="FFDBDBDB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CCD4DE"/>
      </patternFill>
    </fill>
    <fill>
      <patternFill patternType="solid">
        <fgColor rgb="FFBDD7EE"/>
        <bgColor rgb="FFCCD4DE"/>
      </patternFill>
    </fill>
    <fill>
      <patternFill patternType="solid">
        <fgColor rgb="FFFFE699"/>
        <bgColor rgb="FFFFD966"/>
      </patternFill>
    </fill>
    <fill>
      <patternFill patternType="solid">
        <fgColor rgb="FFB4C6E7"/>
        <bgColor rgb="FF9DC3E6"/>
      </patternFill>
    </fill>
  </fills>
  <borders count="1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09">
    <xf numFmtId="0" fontId="0" fillId="0" borderId="0" xfId="0"/>
    <xf numFmtId="0" fontId="0" fillId="0" borderId="6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0" borderId="0" xfId="0" applyFill="1"/>
    <xf numFmtId="0" fontId="4" fillId="30" borderId="0" xfId="0" applyFont="1" applyFill="1"/>
    <xf numFmtId="9" fontId="0" fillId="30" borderId="0" xfId="0" applyNumberFormat="1" applyFill="1"/>
    <xf numFmtId="0" fontId="7" fillId="17" borderId="28" xfId="0" applyFont="1" applyFill="1" applyBorder="1" applyAlignment="1">
      <alignment horizontal="center" vertical="center" wrapText="1"/>
    </xf>
    <xf numFmtId="0" fontId="7" fillId="17" borderId="5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10" borderId="28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7" fillId="12" borderId="28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7" fillId="6" borderId="2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13" borderId="28" xfId="0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 wrapText="1"/>
    </xf>
    <xf numFmtId="9" fontId="5" fillId="26" borderId="10" xfId="0" applyNumberFormat="1" applyFont="1" applyFill="1" applyBorder="1"/>
    <xf numFmtId="0" fontId="6" fillId="11" borderId="3" xfId="0" applyFont="1" applyFill="1" applyBorder="1" applyAlignment="1">
      <alignment horizontal="center" vertical="center"/>
    </xf>
    <xf numFmtId="9" fontId="6" fillId="11" borderId="5" xfId="1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9" fontId="6" fillId="11" borderId="7" xfId="1" applyFont="1" applyFill="1" applyBorder="1" applyAlignment="1">
      <alignment horizontal="center" vertical="center"/>
    </xf>
    <xf numFmtId="9" fontId="6" fillId="11" borderId="25" xfId="1" applyFont="1" applyFill="1" applyBorder="1" applyAlignment="1">
      <alignment horizontal="center" vertical="center"/>
    </xf>
    <xf numFmtId="0" fontId="5" fillId="18" borderId="8" xfId="0" applyFont="1" applyFill="1" applyBorder="1" applyAlignment="1">
      <alignment horizontal="center" vertical="center"/>
    </xf>
    <xf numFmtId="9" fontId="5" fillId="18" borderId="10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9" fontId="6" fillId="4" borderId="5" xfId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9" fontId="6" fillId="4" borderId="7" xfId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5" fillId="19" borderId="8" xfId="0" applyFont="1" applyFill="1" applyBorder="1" applyAlignment="1">
      <alignment horizontal="center" vertical="center"/>
    </xf>
    <xf numFmtId="9" fontId="5" fillId="19" borderId="10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9" fontId="6" fillId="5" borderId="5" xfId="1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9" fontId="6" fillId="5" borderId="7" xfId="1" applyFont="1" applyFill="1" applyBorder="1" applyAlignment="1">
      <alignment horizontal="center" vertical="center"/>
    </xf>
    <xf numFmtId="0" fontId="5" fillId="20" borderId="8" xfId="0" applyFont="1" applyFill="1" applyBorder="1" applyAlignment="1">
      <alignment horizontal="center" vertical="center"/>
    </xf>
    <xf numFmtId="9" fontId="5" fillId="20" borderId="10" xfId="0" applyNumberFormat="1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center" vertical="center"/>
    </xf>
    <xf numFmtId="9" fontId="6" fillId="24" borderId="5" xfId="1" applyFont="1" applyFill="1" applyBorder="1" applyAlignment="1">
      <alignment horizontal="center" vertical="center"/>
    </xf>
    <xf numFmtId="0" fontId="6" fillId="24" borderId="6" xfId="0" applyFont="1" applyFill="1" applyBorder="1" applyAlignment="1">
      <alignment horizontal="center" vertical="center"/>
    </xf>
    <xf numFmtId="9" fontId="6" fillId="24" borderId="7" xfId="1" applyFont="1" applyFill="1" applyBorder="1" applyAlignment="1">
      <alignment horizontal="center" vertical="center"/>
    </xf>
    <xf numFmtId="0" fontId="5" fillId="23" borderId="8" xfId="0" applyFont="1" applyFill="1" applyBorder="1" applyAlignment="1">
      <alignment horizontal="center" vertical="center"/>
    </xf>
    <xf numFmtId="9" fontId="5" fillId="23" borderId="10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9" fontId="6" fillId="3" borderId="5" xfId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9" fontId="6" fillId="3" borderId="7" xfId="1" applyFont="1" applyFill="1" applyBorder="1" applyAlignment="1">
      <alignment horizontal="center" vertical="center"/>
    </xf>
    <xf numFmtId="9" fontId="6" fillId="3" borderId="25" xfId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9" fontId="6" fillId="9" borderId="5" xfId="1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9" fontId="6" fillId="9" borderId="7" xfId="1" applyFont="1" applyFill="1" applyBorder="1" applyAlignment="1">
      <alignment horizontal="center" vertical="center"/>
    </xf>
    <xf numFmtId="0" fontId="5" fillId="28" borderId="8" xfId="0" applyFont="1" applyFill="1" applyBorder="1" applyAlignment="1">
      <alignment horizontal="center" vertical="center"/>
    </xf>
    <xf numFmtId="9" fontId="5" fillId="28" borderId="10" xfId="0" applyNumberFormat="1" applyFont="1" applyFill="1" applyBorder="1" applyAlignment="1">
      <alignment horizontal="center" vertical="center"/>
    </xf>
    <xf numFmtId="0" fontId="6" fillId="30" borderId="0" xfId="0" applyFont="1" applyFill="1"/>
    <xf numFmtId="0" fontId="5" fillId="15" borderId="29" xfId="0" applyFont="1" applyFill="1" applyBorder="1" applyAlignment="1">
      <alignment horizontal="center" vertical="center" wrapText="1"/>
    </xf>
    <xf numFmtId="0" fontId="5" fillId="15" borderId="30" xfId="0" applyFont="1" applyFill="1" applyBorder="1" applyAlignment="1">
      <alignment horizontal="center" vertical="center" wrapText="1"/>
    </xf>
    <xf numFmtId="9" fontId="6" fillId="12" borderId="7" xfId="1" applyFont="1" applyFill="1" applyBorder="1" applyAlignment="1">
      <alignment horizontal="center" vertical="center"/>
    </xf>
    <xf numFmtId="9" fontId="6" fillId="6" borderId="7" xfId="1" applyFont="1" applyFill="1" applyBorder="1" applyAlignment="1">
      <alignment horizontal="center" vertical="center"/>
    </xf>
    <xf numFmtId="9" fontId="6" fillId="13" borderId="7" xfId="1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 wrapText="1"/>
    </xf>
    <xf numFmtId="9" fontId="5" fillId="14" borderId="10" xfId="0" applyNumberFormat="1" applyFont="1" applyFill="1" applyBorder="1" applyAlignment="1">
      <alignment horizontal="center" vertical="center"/>
    </xf>
    <xf numFmtId="0" fontId="6" fillId="11" borderId="15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7" fillId="17" borderId="29" xfId="0" applyFont="1" applyFill="1" applyBorder="1" applyAlignment="1">
      <alignment horizontal="center" vertical="center" wrapText="1"/>
    </xf>
    <xf numFmtId="0" fontId="7" fillId="17" borderId="34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/>
    </xf>
    <xf numFmtId="0" fontId="7" fillId="11" borderId="41" xfId="0" applyFont="1" applyFill="1" applyBorder="1" applyAlignment="1">
      <alignment horizontal="center" vertical="center"/>
    </xf>
    <xf numFmtId="0" fontId="7" fillId="11" borderId="35" xfId="0" applyFont="1" applyFill="1" applyBorder="1" applyAlignment="1">
      <alignment horizontal="center" vertical="center"/>
    </xf>
    <xf numFmtId="0" fontId="7" fillId="11" borderId="30" xfId="0" applyFont="1" applyFill="1" applyBorder="1" applyAlignment="1">
      <alignment horizontal="center" vertical="center"/>
    </xf>
    <xf numFmtId="9" fontId="6" fillId="11" borderId="31" xfId="1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9" fontId="6" fillId="11" borderId="21" xfId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/>
    <xf numFmtId="0" fontId="6" fillId="0" borderId="1" xfId="0" applyFont="1" applyBorder="1"/>
    <xf numFmtId="0" fontId="6" fillId="11" borderId="11" xfId="0" applyFont="1" applyFill="1" applyBorder="1" applyAlignment="1">
      <alignment horizontal="center" vertical="center"/>
    </xf>
    <xf numFmtId="9" fontId="6" fillId="11" borderId="42" xfId="1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/>
    <xf numFmtId="0" fontId="5" fillId="18" borderId="41" xfId="0" applyFont="1" applyFill="1" applyBorder="1" applyAlignment="1">
      <alignment horizontal="center" vertical="center"/>
    </xf>
    <xf numFmtId="9" fontId="5" fillId="18" borderId="30" xfId="0" applyNumberFormat="1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7" fillId="10" borderId="32" xfId="0" applyFont="1" applyFill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 wrapText="1"/>
    </xf>
    <xf numFmtId="0" fontId="7" fillId="10" borderId="29" xfId="0" applyFont="1" applyFill="1" applyBorder="1" applyAlignment="1">
      <alignment horizontal="center" vertical="center"/>
    </xf>
    <xf numFmtId="0" fontId="7" fillId="5" borderId="41" xfId="0" applyFont="1" applyFill="1" applyBorder="1" applyAlignment="1">
      <alignment horizontal="center" vertical="center"/>
    </xf>
    <xf numFmtId="0" fontId="7" fillId="5" borderId="35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9" fontId="6" fillId="5" borderId="22" xfId="1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9" fontId="6" fillId="5" borderId="21" xfId="1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9" fontId="6" fillId="5" borderId="2" xfId="1" applyFont="1" applyFill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20" borderId="41" xfId="0" applyFont="1" applyFill="1" applyBorder="1" applyAlignment="1">
      <alignment horizontal="center" vertical="center"/>
    </xf>
    <xf numFmtId="9" fontId="5" fillId="20" borderId="34" xfId="0" applyNumberFormat="1" applyFont="1" applyFill="1" applyBorder="1" applyAlignment="1">
      <alignment horizontal="center" vertical="center"/>
    </xf>
    <xf numFmtId="0" fontId="7" fillId="6" borderId="32" xfId="0" applyFont="1" applyFill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/>
    </xf>
    <xf numFmtId="9" fontId="6" fillId="3" borderId="22" xfId="1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9" fontId="6" fillId="3" borderId="21" xfId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9" fontId="6" fillId="3" borderId="42" xfId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26" borderId="41" xfId="0" applyFont="1" applyFill="1" applyBorder="1" applyAlignment="1">
      <alignment horizontal="center" vertical="center"/>
    </xf>
    <xf numFmtId="9" fontId="5" fillId="26" borderId="30" xfId="0" applyNumberFormat="1" applyFont="1" applyFill="1" applyBorder="1" applyAlignment="1">
      <alignment horizontal="center" vertical="center"/>
    </xf>
    <xf numFmtId="0" fontId="7" fillId="13" borderId="32" xfId="0" applyFont="1" applyFill="1" applyBorder="1" applyAlignment="1">
      <alignment horizontal="center" vertical="center" wrapText="1"/>
    </xf>
    <xf numFmtId="0" fontId="7" fillId="13" borderId="25" xfId="0" applyFont="1" applyFill="1" applyBorder="1" applyAlignment="1">
      <alignment horizontal="center" vertical="center" wrapText="1"/>
    </xf>
    <xf numFmtId="0" fontId="7" fillId="13" borderId="29" xfId="0" applyFont="1" applyFill="1" applyBorder="1" applyAlignment="1">
      <alignment horizontal="center" vertical="center"/>
    </xf>
    <xf numFmtId="0" fontId="7" fillId="9" borderId="41" xfId="0" applyFont="1" applyFill="1" applyBorder="1" applyAlignment="1">
      <alignment horizontal="center" vertical="center"/>
    </xf>
    <xf numFmtId="0" fontId="7" fillId="9" borderId="35" xfId="0" applyFont="1" applyFill="1" applyBorder="1" applyAlignment="1">
      <alignment horizontal="center" vertical="center"/>
    </xf>
    <xf numFmtId="0" fontId="7" fillId="9" borderId="30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9" fontId="6" fillId="9" borderId="12" xfId="1" applyFont="1" applyFill="1" applyBorder="1" applyAlignment="1">
      <alignment horizontal="center" vertical="center"/>
    </xf>
    <xf numFmtId="0" fontId="5" fillId="28" borderId="41" xfId="0" applyFont="1" applyFill="1" applyBorder="1" applyAlignment="1">
      <alignment horizontal="center" vertical="center"/>
    </xf>
    <xf numFmtId="9" fontId="5" fillId="28" borderId="30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7" fillId="7" borderId="29" xfId="0" applyFont="1" applyFill="1" applyBorder="1" applyAlignment="1">
      <alignment horizontal="center" vertical="center" wrapText="1"/>
    </xf>
    <xf numFmtId="0" fontId="7" fillId="4" borderId="51" xfId="0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5" fillId="19" borderId="29" xfId="0" applyFont="1" applyFill="1" applyBorder="1" applyAlignment="1">
      <alignment horizontal="center" vertical="center"/>
    </xf>
    <xf numFmtId="9" fontId="5" fillId="19" borderId="29" xfId="0" applyNumberFormat="1" applyFont="1" applyFill="1" applyBorder="1" applyAlignment="1">
      <alignment horizontal="center" vertical="center"/>
    </xf>
    <xf numFmtId="0" fontId="7" fillId="24" borderId="35" xfId="0" applyFont="1" applyFill="1" applyBorder="1" applyAlignment="1">
      <alignment horizontal="center" vertical="center"/>
    </xf>
    <xf numFmtId="0" fontId="6" fillId="24" borderId="15" xfId="0" applyFont="1" applyFill="1" applyBorder="1" applyAlignment="1">
      <alignment horizontal="center" vertical="center"/>
    </xf>
    <xf numFmtId="0" fontId="7" fillId="12" borderId="29" xfId="0" applyFont="1" applyFill="1" applyBorder="1" applyAlignment="1">
      <alignment horizontal="center" vertical="center" wrapText="1"/>
    </xf>
    <xf numFmtId="9" fontId="6" fillId="4" borderId="25" xfId="1" applyFont="1" applyFill="1" applyBorder="1" applyAlignment="1">
      <alignment horizontal="center" vertical="center"/>
    </xf>
    <xf numFmtId="9" fontId="6" fillId="24" borderId="25" xfId="1" applyFont="1" applyFill="1" applyBorder="1" applyAlignment="1">
      <alignment horizontal="center" vertical="center"/>
    </xf>
    <xf numFmtId="0" fontId="5" fillId="26" borderId="8" xfId="0" applyFont="1" applyFill="1" applyBorder="1" applyAlignment="1">
      <alignment horizontal="center" vertical="center"/>
    </xf>
    <xf numFmtId="0" fontId="10" fillId="0" borderId="0" xfId="0" applyFont="1"/>
    <xf numFmtId="0" fontId="13" fillId="17" borderId="41" xfId="0" applyFont="1" applyFill="1" applyBorder="1" applyAlignment="1">
      <alignment horizontal="center" vertical="center" wrapText="1"/>
    </xf>
    <xf numFmtId="0" fontId="13" fillId="17" borderId="35" xfId="0" applyFont="1" applyFill="1" applyBorder="1" applyAlignment="1">
      <alignment horizontal="center" vertical="center" wrapText="1"/>
    </xf>
    <xf numFmtId="0" fontId="13" fillId="17" borderId="30" xfId="0" applyFont="1" applyFill="1" applyBorder="1" applyAlignment="1">
      <alignment horizontal="center" vertical="center" wrapText="1"/>
    </xf>
    <xf numFmtId="0" fontId="13" fillId="7" borderId="41" xfId="0" applyFont="1" applyFill="1" applyBorder="1" applyAlignment="1">
      <alignment horizontal="center" vertical="center" wrapText="1"/>
    </xf>
    <xf numFmtId="0" fontId="13" fillId="7" borderId="35" xfId="0" applyFont="1" applyFill="1" applyBorder="1" applyAlignment="1">
      <alignment horizontal="center" vertical="center" wrapText="1"/>
    </xf>
    <xf numFmtId="0" fontId="13" fillId="7" borderId="30" xfId="0" applyFont="1" applyFill="1" applyBorder="1" applyAlignment="1">
      <alignment horizontal="center" vertical="center" wrapText="1"/>
    </xf>
    <xf numFmtId="0" fontId="13" fillId="10" borderId="41" xfId="0" applyFont="1" applyFill="1" applyBorder="1" applyAlignment="1">
      <alignment horizontal="center" vertical="center" wrapText="1"/>
    </xf>
    <xf numFmtId="0" fontId="13" fillId="10" borderId="35" xfId="0" applyFont="1" applyFill="1" applyBorder="1" applyAlignment="1">
      <alignment horizontal="center" vertical="center" wrapText="1"/>
    </xf>
    <xf numFmtId="0" fontId="13" fillId="10" borderId="30" xfId="0" applyFont="1" applyFill="1" applyBorder="1" applyAlignment="1">
      <alignment horizontal="center" vertical="center" wrapText="1"/>
    </xf>
    <xf numFmtId="0" fontId="13" fillId="12" borderId="41" xfId="0" applyFont="1" applyFill="1" applyBorder="1" applyAlignment="1">
      <alignment horizontal="center" vertical="center" wrapText="1"/>
    </xf>
    <xf numFmtId="0" fontId="13" fillId="12" borderId="35" xfId="0" applyFont="1" applyFill="1" applyBorder="1" applyAlignment="1">
      <alignment horizontal="center" vertical="center" wrapText="1"/>
    </xf>
    <xf numFmtId="0" fontId="13" fillId="12" borderId="30" xfId="0" applyFont="1" applyFill="1" applyBorder="1" applyAlignment="1">
      <alignment horizontal="center" vertical="center" wrapText="1"/>
    </xf>
    <xf numFmtId="0" fontId="13" fillId="6" borderId="41" xfId="0" applyFont="1" applyFill="1" applyBorder="1" applyAlignment="1">
      <alignment horizontal="center" vertical="center" wrapText="1"/>
    </xf>
    <xf numFmtId="0" fontId="13" fillId="6" borderId="35" xfId="0" applyFont="1" applyFill="1" applyBorder="1" applyAlignment="1">
      <alignment horizontal="center" vertical="center" wrapText="1"/>
    </xf>
    <xf numFmtId="0" fontId="13" fillId="6" borderId="30" xfId="0" applyFont="1" applyFill="1" applyBorder="1" applyAlignment="1">
      <alignment horizontal="center" vertical="center" wrapText="1"/>
    </xf>
    <xf numFmtId="0" fontId="13" fillId="13" borderId="41" xfId="0" applyFont="1" applyFill="1" applyBorder="1" applyAlignment="1">
      <alignment horizontal="center" vertical="center" wrapText="1"/>
    </xf>
    <xf numFmtId="0" fontId="13" fillId="13" borderId="35" xfId="0" applyFont="1" applyFill="1" applyBorder="1" applyAlignment="1">
      <alignment horizontal="center" vertical="center" wrapText="1"/>
    </xf>
    <xf numFmtId="0" fontId="13" fillId="13" borderId="30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/>
    </xf>
    <xf numFmtId="0" fontId="16" fillId="0" borderId="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" fillId="29" borderId="27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0" fontId="18" fillId="0" borderId="7" xfId="0" applyFont="1" applyBorder="1" applyAlignment="1">
      <alignment vertical="center"/>
    </xf>
    <xf numFmtId="0" fontId="18" fillId="0" borderId="7" xfId="0" applyFont="1" applyBorder="1"/>
    <xf numFmtId="0" fontId="18" fillId="0" borderId="10" xfId="0" applyFont="1" applyBorder="1"/>
    <xf numFmtId="0" fontId="1" fillId="29" borderId="29" xfId="0" applyFont="1" applyFill="1" applyBorder="1"/>
    <xf numFmtId="0" fontId="18" fillId="0" borderId="15" xfId="0" applyFont="1" applyBorder="1" applyAlignment="1">
      <alignment horizontal="center" vertical="center"/>
    </xf>
    <xf numFmtId="0" fontId="18" fillId="0" borderId="25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51" xfId="0" applyFont="1" applyBorder="1"/>
    <xf numFmtId="0" fontId="0" fillId="0" borderId="1" xfId="0" applyBorder="1"/>
    <xf numFmtId="0" fontId="0" fillId="0" borderId="7" xfId="0" applyBorder="1"/>
    <xf numFmtId="0" fontId="0" fillId="0" borderId="9" xfId="0" applyBorder="1"/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17" fillId="35" borderId="41" xfId="0" applyFont="1" applyFill="1" applyBorder="1" applyAlignment="1">
      <alignment horizontal="center"/>
    </xf>
    <xf numFmtId="0" fontId="17" fillId="35" borderId="20" xfId="0" applyFont="1" applyFill="1" applyBorder="1" applyAlignment="1">
      <alignment horizontal="left"/>
    </xf>
    <xf numFmtId="0" fontId="17" fillId="35" borderId="20" xfId="0" applyFont="1" applyFill="1" applyBorder="1" applyAlignment="1">
      <alignment horizontal="left" vertical="center"/>
    </xf>
    <xf numFmtId="0" fontId="1" fillId="29" borderId="29" xfId="0" applyFont="1" applyFill="1" applyBorder="1" applyAlignment="1">
      <alignment horizontal="left" vertical="center"/>
    </xf>
    <xf numFmtId="0" fontId="18" fillId="0" borderId="52" xfId="0" applyFont="1" applyBorder="1" applyAlignment="1">
      <alignment vertical="center"/>
    </xf>
    <xf numFmtId="0" fontId="18" fillId="0" borderId="52" xfId="0" applyFont="1" applyBorder="1"/>
    <xf numFmtId="0" fontId="0" fillId="0" borderId="1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7" xfId="0" applyBorder="1"/>
    <xf numFmtId="0" fontId="17" fillId="35" borderId="26" xfId="0" applyFont="1" applyFill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2" fillId="15" borderId="53" xfId="0" applyFont="1" applyFill="1" applyBorder="1" applyAlignment="1">
      <alignment horizontal="center"/>
    </xf>
    <xf numFmtId="0" fontId="12" fillId="15" borderId="0" xfId="0" applyFont="1" applyFill="1" applyAlignment="1">
      <alignment horizontal="center"/>
    </xf>
    <xf numFmtId="0" fontId="12" fillId="32" borderId="54" xfId="0" applyFont="1" applyFill="1" applyBorder="1"/>
    <xf numFmtId="0" fontId="14" fillId="0" borderId="0" xfId="0" applyFont="1"/>
    <xf numFmtId="0" fontId="14" fillId="31" borderId="4" xfId="0" applyFont="1" applyFill="1" applyBorder="1" applyAlignment="1">
      <alignment horizontal="center" vertical="center"/>
    </xf>
    <xf numFmtId="0" fontId="14" fillId="9" borderId="5" xfId="0" applyFont="1" applyFill="1" applyBorder="1"/>
    <xf numFmtId="0" fontId="16" fillId="36" borderId="17" xfId="0" applyFont="1" applyFill="1" applyBorder="1" applyAlignment="1">
      <alignment horizontal="center" vertical="center"/>
    </xf>
    <xf numFmtId="0" fontId="16" fillId="36" borderId="1" xfId="0" applyFont="1" applyFill="1" applyBorder="1" applyAlignment="1">
      <alignment horizontal="center" vertical="center"/>
    </xf>
    <xf numFmtId="0" fontId="16" fillId="36" borderId="21" xfId="0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6" fillId="36" borderId="6" xfId="0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4" fillId="31" borderId="1" xfId="0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wrapText="1"/>
    </xf>
    <xf numFmtId="0" fontId="19" fillId="0" borderId="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36" borderId="7" xfId="0" applyFont="1" applyFill="1" applyBorder="1" applyAlignment="1">
      <alignment horizontal="center" vertical="center"/>
    </xf>
    <xf numFmtId="0" fontId="14" fillId="31" borderId="9" xfId="0" applyFont="1" applyFill="1" applyBorder="1" applyAlignment="1">
      <alignment horizontal="center" vertical="center"/>
    </xf>
    <xf numFmtId="0" fontId="14" fillId="9" borderId="10" xfId="0" applyFont="1" applyFill="1" applyBorder="1"/>
    <xf numFmtId="0" fontId="16" fillId="36" borderId="8" xfId="0" applyFont="1" applyFill="1" applyBorder="1" applyAlignment="1">
      <alignment horizontal="center" vertical="center"/>
    </xf>
    <xf numFmtId="0" fontId="16" fillId="36" borderId="9" xfId="0" applyFont="1" applyFill="1" applyBorder="1" applyAlignment="1">
      <alignment horizontal="center" vertical="center"/>
    </xf>
    <xf numFmtId="0" fontId="16" fillId="36" borderId="48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6" fillId="36" borderId="10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3" fillId="33" borderId="14" xfId="0" applyFont="1" applyFill="1" applyBorder="1" applyAlignment="1">
      <alignment horizontal="center" vertical="center"/>
    </xf>
    <xf numFmtId="0" fontId="14" fillId="31" borderId="46" xfId="0" applyFont="1" applyFill="1" applyBorder="1" applyAlignment="1">
      <alignment horizontal="center" vertical="center"/>
    </xf>
    <xf numFmtId="0" fontId="14" fillId="9" borderId="47" xfId="0" applyFont="1" applyFill="1" applyBorder="1" applyAlignment="1">
      <alignment wrapText="1"/>
    </xf>
    <xf numFmtId="0" fontId="19" fillId="0" borderId="49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6" fillId="36" borderId="50" xfId="0" applyFont="1" applyFill="1" applyBorder="1" applyAlignment="1">
      <alignment horizontal="center" vertical="center"/>
    </xf>
    <xf numFmtId="0" fontId="16" fillId="36" borderId="14" xfId="0" applyFont="1" applyFill="1" applyBorder="1" applyAlignment="1">
      <alignment horizontal="center" vertical="center"/>
    </xf>
    <xf numFmtId="0" fontId="16" fillId="36" borderId="46" xfId="0" applyFont="1" applyFill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13" fillId="29" borderId="29" xfId="0" applyFont="1" applyFill="1" applyBorder="1" applyAlignment="1">
      <alignment horizontal="left" vertical="center"/>
    </xf>
    <xf numFmtId="0" fontId="20" fillId="37" borderId="14" xfId="0" applyFont="1" applyFill="1" applyBorder="1" applyAlignment="1">
      <alignment horizontal="center" vertical="center" wrapText="1"/>
    </xf>
    <xf numFmtId="0" fontId="20" fillId="37" borderId="49" xfId="0" applyFont="1" applyFill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6" xfId="0" applyFont="1" applyBorder="1"/>
    <xf numFmtId="0" fontId="21" fillId="0" borderId="8" xfId="0" applyFont="1" applyBorder="1"/>
    <xf numFmtId="0" fontId="21" fillId="0" borderId="9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/>
    <xf numFmtId="0" fontId="6" fillId="0" borderId="17" xfId="0" applyFont="1" applyBorder="1"/>
    <xf numFmtId="0" fontId="20" fillId="37" borderId="51" xfId="0" applyFont="1" applyFill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9" xfId="0" applyFont="1" applyBorder="1"/>
    <xf numFmtId="0" fontId="6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21" fillId="0" borderId="18" xfId="0" applyFont="1" applyBorder="1" applyAlignment="1">
      <alignment horizontal="center" vertical="center"/>
    </xf>
    <xf numFmtId="0" fontId="20" fillId="37" borderId="35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/>
    </xf>
    <xf numFmtId="0" fontId="20" fillId="37" borderId="36" xfId="0" applyFont="1" applyFill="1" applyBorder="1" applyAlignment="1">
      <alignment horizontal="center" vertical="center" wrapText="1"/>
    </xf>
    <xf numFmtId="0" fontId="7" fillId="11" borderId="36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46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7" fillId="4" borderId="49" xfId="0" applyFont="1" applyFill="1" applyBorder="1" applyAlignment="1">
      <alignment horizontal="center" vertical="center"/>
    </xf>
    <xf numFmtId="0" fontId="6" fillId="0" borderId="18" xfId="0" applyFont="1" applyBorder="1"/>
    <xf numFmtId="0" fontId="7" fillId="5" borderId="36" xfId="0" applyFont="1" applyFill="1" applyBorder="1" applyAlignment="1">
      <alignment horizontal="center" vertical="center"/>
    </xf>
    <xf numFmtId="0" fontId="0" fillId="30" borderId="56" xfId="0" applyFill="1" applyBorder="1"/>
    <xf numFmtId="0" fontId="7" fillId="30" borderId="0" xfId="0" applyFont="1" applyFill="1"/>
    <xf numFmtId="0" fontId="5" fillId="30" borderId="0" xfId="0" applyFont="1" applyFill="1" applyAlignment="1">
      <alignment horizontal="center" vertical="center" wrapText="1"/>
    </xf>
    <xf numFmtId="0" fontId="6" fillId="30" borderId="0" xfId="0" applyFont="1" applyFill="1" applyAlignment="1">
      <alignment horizontal="center" vertical="center"/>
    </xf>
    <xf numFmtId="9" fontId="6" fillId="30" borderId="0" xfId="1" applyFont="1" applyFill="1" applyBorder="1" applyAlignment="1">
      <alignment horizontal="center" vertical="center"/>
    </xf>
    <xf numFmtId="9" fontId="5" fillId="30" borderId="0" xfId="0" applyNumberFormat="1" applyFont="1" applyFill="1" applyAlignment="1">
      <alignment horizontal="center" vertical="center"/>
    </xf>
    <xf numFmtId="0" fontId="10" fillId="30" borderId="0" xfId="0" applyFont="1" applyFill="1"/>
    <xf numFmtId="0" fontId="13" fillId="30" borderId="0" xfId="0" applyFont="1" applyFill="1" applyAlignment="1">
      <alignment vertical="center"/>
    </xf>
    <xf numFmtId="0" fontId="13" fillId="30" borderId="0" xfId="0" applyFont="1" applyFill="1" applyAlignment="1">
      <alignment wrapText="1"/>
    </xf>
    <xf numFmtId="0" fontId="13" fillId="30" borderId="0" xfId="0" applyFont="1" applyFill="1"/>
    <xf numFmtId="0" fontId="11" fillId="30" borderId="0" xfId="0" applyFont="1" applyFill="1"/>
    <xf numFmtId="0" fontId="11" fillId="30" borderId="0" xfId="0" applyFont="1" applyFill="1" applyAlignment="1">
      <alignment horizontal="left"/>
    </xf>
    <xf numFmtId="0" fontId="10" fillId="30" borderId="0" xfId="0" applyFont="1" applyFill="1" applyAlignment="1">
      <alignment horizontal="center" vertical="center"/>
    </xf>
    <xf numFmtId="0" fontId="15" fillId="30" borderId="0" xfId="0" applyFont="1" applyFill="1"/>
    <xf numFmtId="0" fontId="10" fillId="30" borderId="0" xfId="0" applyFont="1" applyFill="1" applyAlignment="1">
      <alignment horizontal="center"/>
    </xf>
    <xf numFmtId="0" fontId="14" fillId="30" borderId="0" xfId="0" applyFont="1" applyFill="1"/>
    <xf numFmtId="0" fontId="18" fillId="30" borderId="0" xfId="0" applyFont="1" applyFill="1" applyAlignment="1">
      <alignment horizontal="center" vertical="center"/>
    </xf>
    <xf numFmtId="0" fontId="18" fillId="30" borderId="0" xfId="0" applyFont="1" applyFill="1"/>
    <xf numFmtId="0" fontId="20" fillId="38" borderId="35" xfId="0" applyFont="1" applyFill="1" applyBorder="1" applyAlignment="1">
      <alignment horizontal="center" vertical="center"/>
    </xf>
    <xf numFmtId="0" fontId="20" fillId="38" borderId="41" xfId="0" applyFont="1" applyFill="1" applyBorder="1" applyAlignment="1">
      <alignment horizontal="center" vertical="center"/>
    </xf>
    <xf numFmtId="0" fontId="20" fillId="38" borderId="30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0" fillId="39" borderId="41" xfId="0" applyFont="1" applyFill="1" applyBorder="1" applyAlignment="1">
      <alignment horizontal="center" vertical="center" wrapText="1"/>
    </xf>
    <xf numFmtId="0" fontId="20" fillId="39" borderId="35" xfId="0" applyFont="1" applyFill="1" applyBorder="1" applyAlignment="1">
      <alignment horizontal="center" vertical="center" wrapText="1"/>
    </xf>
    <xf numFmtId="0" fontId="20" fillId="40" borderId="41" xfId="0" applyFont="1" applyFill="1" applyBorder="1" applyAlignment="1">
      <alignment horizontal="center" vertical="center" wrapText="1"/>
    </xf>
    <xf numFmtId="0" fontId="20" fillId="40" borderId="35" xfId="0" applyFont="1" applyFill="1" applyBorder="1" applyAlignment="1">
      <alignment horizontal="center" vertical="center" wrapText="1"/>
    </xf>
    <xf numFmtId="0" fontId="20" fillId="39" borderId="30" xfId="0" applyFont="1" applyFill="1" applyBorder="1" applyAlignment="1">
      <alignment horizontal="center" vertical="center"/>
    </xf>
    <xf numFmtId="0" fontId="20" fillId="40" borderId="30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6" fillId="36" borderId="57" xfId="0" applyFont="1" applyFill="1" applyBorder="1" applyAlignment="1">
      <alignment horizontal="center" vertical="center"/>
    </xf>
    <xf numFmtId="0" fontId="16" fillId="36" borderId="58" xfId="0" applyFont="1" applyFill="1" applyBorder="1" applyAlignment="1">
      <alignment horizontal="center" vertical="center"/>
    </xf>
    <xf numFmtId="0" fontId="16" fillId="36" borderId="59" xfId="0" applyFont="1" applyFill="1" applyBorder="1" applyAlignment="1">
      <alignment horizontal="center" vertical="center"/>
    </xf>
    <xf numFmtId="0" fontId="19" fillId="0" borderId="60" xfId="0" applyFont="1" applyBorder="1" applyAlignment="1">
      <alignment horizontal="center" vertical="center"/>
    </xf>
    <xf numFmtId="0" fontId="19" fillId="0" borderId="61" xfId="0" applyFont="1" applyBorder="1" applyAlignment="1">
      <alignment horizontal="center" vertical="center"/>
    </xf>
    <xf numFmtId="0" fontId="16" fillId="36" borderId="62" xfId="0" applyFont="1" applyFill="1" applyBorder="1" applyAlignment="1">
      <alignment horizontal="center" vertical="center"/>
    </xf>
    <xf numFmtId="0" fontId="1" fillId="29" borderId="19" xfId="0" applyFont="1" applyFill="1" applyBorder="1" applyAlignment="1">
      <alignment horizontal="center" vertical="center"/>
    </xf>
    <xf numFmtId="0" fontId="1" fillId="29" borderId="64" xfId="0" applyFont="1" applyFill="1" applyBorder="1"/>
    <xf numFmtId="0" fontId="0" fillId="0" borderId="66" xfId="0" applyBorder="1"/>
    <xf numFmtId="0" fontId="0" fillId="0" borderId="68" xfId="0" applyBorder="1"/>
    <xf numFmtId="0" fontId="0" fillId="0" borderId="70" xfId="0" applyBorder="1"/>
    <xf numFmtId="0" fontId="0" fillId="0" borderId="71" xfId="0" applyBorder="1"/>
    <xf numFmtId="0" fontId="25" fillId="0" borderId="18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3" fillId="4" borderId="35" xfId="0" applyFont="1" applyFill="1" applyBorder="1" applyAlignment="1">
      <alignment horizontal="center" vertical="center"/>
    </xf>
    <xf numFmtId="0" fontId="22" fillId="0" borderId="63" xfId="0" applyFont="1" applyBorder="1" applyAlignment="1">
      <alignment horizontal="center"/>
    </xf>
    <xf numFmtId="0" fontId="5" fillId="27" borderId="27" xfId="0" applyFont="1" applyFill="1" applyBorder="1" applyAlignment="1">
      <alignment horizontal="center" vertical="center" wrapText="1"/>
    </xf>
    <xf numFmtId="0" fontId="5" fillId="27" borderId="26" xfId="0" applyFont="1" applyFill="1" applyBorder="1" applyAlignment="1">
      <alignment horizontal="center" vertical="center" wrapText="1"/>
    </xf>
    <xf numFmtId="0" fontId="5" fillId="16" borderId="27" xfId="0" applyFont="1" applyFill="1" applyBorder="1" applyAlignment="1">
      <alignment horizontal="center" vertical="center" wrapText="1"/>
    </xf>
    <xf numFmtId="0" fontId="5" fillId="16" borderId="26" xfId="0" applyFont="1" applyFill="1" applyBorder="1" applyAlignment="1">
      <alignment horizontal="center" vertical="center" wrapText="1"/>
    </xf>
    <xf numFmtId="0" fontId="5" fillId="8" borderId="27" xfId="0" applyFont="1" applyFill="1" applyBorder="1" applyAlignment="1">
      <alignment horizontal="center" vertical="center" wrapText="1"/>
    </xf>
    <xf numFmtId="0" fontId="5" fillId="8" borderId="26" xfId="0" applyFont="1" applyFill="1" applyBorder="1" applyAlignment="1">
      <alignment horizontal="center" vertical="center" wrapText="1"/>
    </xf>
    <xf numFmtId="0" fontId="5" fillId="21" borderId="27" xfId="0" applyFont="1" applyFill="1" applyBorder="1" applyAlignment="1">
      <alignment horizontal="center" vertical="center" wrapText="1"/>
    </xf>
    <xf numFmtId="0" fontId="5" fillId="21" borderId="26" xfId="0" applyFont="1" applyFill="1" applyBorder="1" applyAlignment="1">
      <alignment horizontal="center" vertical="center" wrapText="1"/>
    </xf>
    <xf numFmtId="0" fontId="5" fillId="22" borderId="27" xfId="0" applyFont="1" applyFill="1" applyBorder="1" applyAlignment="1">
      <alignment horizontal="center" vertical="center" wrapText="1"/>
    </xf>
    <xf numFmtId="0" fontId="5" fillId="22" borderId="26" xfId="0" applyFont="1" applyFill="1" applyBorder="1" applyAlignment="1">
      <alignment horizontal="center" vertical="center" wrapText="1"/>
    </xf>
    <xf numFmtId="0" fontId="5" fillId="25" borderId="27" xfId="0" applyFont="1" applyFill="1" applyBorder="1" applyAlignment="1">
      <alignment horizontal="center" vertical="center" wrapText="1"/>
    </xf>
    <xf numFmtId="0" fontId="5" fillId="25" borderId="26" xfId="0" applyFont="1" applyFill="1" applyBorder="1" applyAlignment="1">
      <alignment horizontal="center" vertical="center" wrapText="1"/>
    </xf>
    <xf numFmtId="0" fontId="12" fillId="27" borderId="45" xfId="0" applyFont="1" applyFill="1" applyBorder="1" applyAlignment="1">
      <alignment horizontal="center" vertical="center" wrapText="1"/>
    </xf>
    <xf numFmtId="0" fontId="12" fillId="27" borderId="24" xfId="0" applyFont="1" applyFill="1" applyBorder="1" applyAlignment="1">
      <alignment horizontal="center" vertical="center" wrapText="1"/>
    </xf>
    <xf numFmtId="0" fontId="13" fillId="33" borderId="3" xfId="0" applyFont="1" applyFill="1" applyBorder="1" applyAlignment="1">
      <alignment horizontal="center" vertical="center"/>
    </xf>
    <xf numFmtId="0" fontId="13" fillId="33" borderId="6" xfId="0" applyFont="1" applyFill="1" applyBorder="1" applyAlignment="1">
      <alignment horizontal="center" vertical="center"/>
    </xf>
    <xf numFmtId="0" fontId="13" fillId="33" borderId="8" xfId="0" applyFont="1" applyFill="1" applyBorder="1" applyAlignment="1">
      <alignment horizontal="center" vertical="center"/>
    </xf>
    <xf numFmtId="0" fontId="13" fillId="33" borderId="13" xfId="0" applyFont="1" applyFill="1" applyBorder="1" applyAlignment="1">
      <alignment horizontal="center" vertical="center"/>
    </xf>
    <xf numFmtId="0" fontId="13" fillId="33" borderId="14" xfId="0" applyFont="1" applyFill="1" applyBorder="1" applyAlignment="1">
      <alignment horizontal="center" vertical="center"/>
    </xf>
    <xf numFmtId="0" fontId="12" fillId="16" borderId="19" xfId="0" applyFont="1" applyFill="1" applyBorder="1" applyAlignment="1">
      <alignment horizontal="center" vertical="center" wrapText="1"/>
    </xf>
    <xf numFmtId="0" fontId="12" fillId="16" borderId="24" xfId="0" applyFont="1" applyFill="1" applyBorder="1" applyAlignment="1">
      <alignment horizontal="center" vertical="center" wrapText="1"/>
    </xf>
    <xf numFmtId="0" fontId="12" fillId="16" borderId="44" xfId="0" applyFont="1" applyFill="1" applyBorder="1" applyAlignment="1">
      <alignment horizontal="center" vertical="center" wrapText="1"/>
    </xf>
    <xf numFmtId="0" fontId="12" fillId="8" borderId="45" xfId="0" applyFont="1" applyFill="1" applyBorder="1" applyAlignment="1">
      <alignment horizontal="center" vertical="center" wrapText="1"/>
    </xf>
    <xf numFmtId="0" fontId="12" fillId="8" borderId="24" xfId="0" applyFont="1" applyFill="1" applyBorder="1" applyAlignment="1">
      <alignment horizontal="center" vertical="center" wrapText="1"/>
    </xf>
    <xf numFmtId="0" fontId="12" fillId="8" borderId="44" xfId="0" applyFont="1" applyFill="1" applyBorder="1" applyAlignment="1">
      <alignment horizontal="center" vertical="center" wrapText="1"/>
    </xf>
    <xf numFmtId="0" fontId="12" fillId="21" borderId="45" xfId="0" applyFont="1" applyFill="1" applyBorder="1" applyAlignment="1">
      <alignment horizontal="center" vertical="center" wrapText="1"/>
    </xf>
    <xf numFmtId="0" fontId="12" fillId="21" borderId="24" xfId="0" applyFont="1" applyFill="1" applyBorder="1" applyAlignment="1">
      <alignment horizontal="center" vertical="center" wrapText="1"/>
    </xf>
    <xf numFmtId="0" fontId="12" fillId="21" borderId="44" xfId="0" applyFont="1" applyFill="1" applyBorder="1" applyAlignment="1">
      <alignment horizontal="center" vertical="center" wrapText="1"/>
    </xf>
    <xf numFmtId="0" fontId="12" fillId="22" borderId="45" xfId="0" applyFont="1" applyFill="1" applyBorder="1" applyAlignment="1">
      <alignment horizontal="center" vertical="center" wrapText="1"/>
    </xf>
    <xf numFmtId="0" fontId="12" fillId="22" borderId="24" xfId="0" applyFont="1" applyFill="1" applyBorder="1" applyAlignment="1">
      <alignment horizontal="center" vertical="center" wrapText="1"/>
    </xf>
    <xf numFmtId="0" fontId="12" fillId="22" borderId="44" xfId="0" applyFont="1" applyFill="1" applyBorder="1" applyAlignment="1">
      <alignment horizontal="center" vertical="center" wrapText="1"/>
    </xf>
    <xf numFmtId="0" fontId="12" fillId="25" borderId="45" xfId="0" applyFont="1" applyFill="1" applyBorder="1" applyAlignment="1">
      <alignment horizontal="center" vertical="center" wrapText="1"/>
    </xf>
    <xf numFmtId="0" fontId="12" fillId="25" borderId="24" xfId="0" applyFont="1" applyFill="1" applyBorder="1" applyAlignment="1">
      <alignment horizontal="center" vertical="center" wrapText="1"/>
    </xf>
    <xf numFmtId="0" fontId="12" fillId="25" borderId="44" xfId="0" applyFont="1" applyFill="1" applyBorder="1" applyAlignment="1">
      <alignment horizontal="center" vertical="center" wrapText="1"/>
    </xf>
    <xf numFmtId="0" fontId="13" fillId="29" borderId="27" xfId="0" applyFont="1" applyFill="1" applyBorder="1" applyAlignment="1">
      <alignment horizontal="center" vertical="center"/>
    </xf>
    <xf numFmtId="0" fontId="14" fillId="29" borderId="33" xfId="0" applyFont="1" applyFill="1" applyBorder="1" applyAlignment="1">
      <alignment horizontal="center" vertical="center"/>
    </xf>
    <xf numFmtId="0" fontId="9" fillId="34" borderId="27" xfId="0" applyFont="1" applyFill="1" applyBorder="1" applyAlignment="1">
      <alignment horizontal="center"/>
    </xf>
    <xf numFmtId="0" fontId="9" fillId="34" borderId="26" xfId="0" applyFont="1" applyFill="1" applyBorder="1" applyAlignment="1">
      <alignment horizontal="center"/>
    </xf>
    <xf numFmtId="0" fontId="9" fillId="34" borderId="27" xfId="0" applyFont="1" applyFill="1" applyBorder="1" applyAlignment="1">
      <alignment horizontal="center" vertical="center"/>
    </xf>
    <xf numFmtId="0" fontId="9" fillId="34" borderId="26" xfId="0" applyFont="1" applyFill="1" applyBorder="1" applyAlignment="1">
      <alignment horizontal="center" vertical="center"/>
    </xf>
    <xf numFmtId="0" fontId="5" fillId="16" borderId="33" xfId="0" applyFont="1" applyFill="1" applyBorder="1" applyAlignment="1">
      <alignment horizontal="center" vertical="center" wrapText="1"/>
    </xf>
    <xf numFmtId="0" fontId="5" fillId="8" borderId="33" xfId="0" applyFont="1" applyFill="1" applyBorder="1" applyAlignment="1">
      <alignment horizontal="center" vertical="center" wrapText="1"/>
    </xf>
    <xf numFmtId="0" fontId="5" fillId="21" borderId="33" xfId="0" applyFont="1" applyFill="1" applyBorder="1" applyAlignment="1">
      <alignment horizontal="center" vertical="center" wrapText="1"/>
    </xf>
    <xf numFmtId="0" fontId="5" fillId="27" borderId="33" xfId="0" applyFont="1" applyFill="1" applyBorder="1" applyAlignment="1">
      <alignment horizontal="center" vertical="center" wrapText="1"/>
    </xf>
    <xf numFmtId="0" fontId="5" fillId="22" borderId="33" xfId="0" applyFont="1" applyFill="1" applyBorder="1" applyAlignment="1">
      <alignment horizontal="center" vertical="center" wrapText="1"/>
    </xf>
    <xf numFmtId="0" fontId="5" fillId="25" borderId="3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20" fillId="37" borderId="56" xfId="0" applyFont="1" applyFill="1" applyBorder="1" applyAlignment="1">
      <alignment horizontal="center" vertical="center" wrapText="1"/>
    </xf>
    <xf numFmtId="0" fontId="21" fillId="0" borderId="74" xfId="0" applyFont="1" applyBorder="1" applyAlignment="1">
      <alignment horizontal="center" vertical="center"/>
    </xf>
    <xf numFmtId="0" fontId="5" fillId="16" borderId="76" xfId="0" applyFont="1" applyFill="1" applyBorder="1" applyAlignment="1">
      <alignment horizontal="center" vertical="center" wrapText="1"/>
    </xf>
    <xf numFmtId="0" fontId="20" fillId="37" borderId="77" xfId="0" applyFont="1" applyFill="1" applyBorder="1" applyAlignment="1">
      <alignment horizontal="center" vertical="center" wrapText="1"/>
    </xf>
    <xf numFmtId="0" fontId="20" fillId="37" borderId="78" xfId="0" applyFont="1" applyFill="1" applyBorder="1" applyAlignment="1">
      <alignment horizontal="center" vertical="center" wrapText="1"/>
    </xf>
    <xf numFmtId="0" fontId="21" fillId="0" borderId="79" xfId="0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0" fontId="21" fillId="0" borderId="81" xfId="0" applyFont="1" applyBorder="1" applyAlignment="1">
      <alignment horizontal="center"/>
    </xf>
    <xf numFmtId="0" fontId="21" fillId="0" borderId="80" xfId="0" applyFont="1" applyBorder="1" applyAlignment="1">
      <alignment horizontal="center" vertical="center"/>
    </xf>
    <xf numFmtId="0" fontId="21" fillId="0" borderId="82" xfId="0" applyFont="1" applyBorder="1" applyAlignment="1">
      <alignment horizontal="center"/>
    </xf>
    <xf numFmtId="0" fontId="20" fillId="37" borderId="34" xfId="0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5" fillId="16" borderId="83" xfId="0" applyFont="1" applyFill="1" applyBorder="1" applyAlignment="1">
      <alignment horizontal="center" vertical="center" wrapText="1"/>
    </xf>
    <xf numFmtId="0" fontId="5" fillId="16" borderId="84" xfId="0" applyFont="1" applyFill="1" applyBorder="1" applyAlignment="1">
      <alignment horizontal="center" vertical="center" wrapText="1"/>
    </xf>
    <xf numFmtId="0" fontId="5" fillId="16" borderId="85" xfId="0" applyFont="1" applyFill="1" applyBorder="1" applyAlignment="1">
      <alignment horizontal="center" vertical="center" wrapText="1"/>
    </xf>
    <xf numFmtId="0" fontId="7" fillId="11" borderId="86" xfId="0" applyFont="1" applyFill="1" applyBorder="1" applyAlignment="1">
      <alignment horizontal="center" vertical="center"/>
    </xf>
    <xf numFmtId="0" fontId="6" fillId="0" borderId="87" xfId="0" applyFont="1" applyBorder="1" applyAlignment="1">
      <alignment horizontal="center"/>
    </xf>
    <xf numFmtId="0" fontId="21" fillId="0" borderId="88" xfId="0" applyFont="1" applyBorder="1" applyAlignment="1">
      <alignment horizontal="center" vertical="center"/>
    </xf>
    <xf numFmtId="0" fontId="6" fillId="0" borderId="89" xfId="0" applyFont="1" applyBorder="1" applyAlignment="1">
      <alignment horizontal="center"/>
    </xf>
    <xf numFmtId="0" fontId="22" fillId="0" borderId="82" xfId="0" applyFont="1" applyBorder="1" applyAlignment="1">
      <alignment horizontal="center"/>
    </xf>
    <xf numFmtId="0" fontId="22" fillId="0" borderId="90" xfId="0" applyFont="1" applyBorder="1" applyAlignment="1">
      <alignment horizontal="center"/>
    </xf>
    <xf numFmtId="0" fontId="5" fillId="16" borderId="91" xfId="0" applyFont="1" applyFill="1" applyBorder="1" applyAlignment="1">
      <alignment horizontal="center" vertical="center" wrapText="1"/>
    </xf>
    <xf numFmtId="0" fontId="21" fillId="0" borderId="74" xfId="0" applyFont="1" applyBorder="1" applyAlignment="1">
      <alignment horizontal="center"/>
    </xf>
    <xf numFmtId="0" fontId="21" fillId="0" borderId="92" xfId="0" applyFont="1" applyBorder="1" applyAlignment="1">
      <alignment horizontal="center"/>
    </xf>
    <xf numFmtId="0" fontId="6" fillId="0" borderId="95" xfId="0" applyFont="1" applyBorder="1" applyAlignment="1">
      <alignment horizontal="center" vertical="center"/>
    </xf>
    <xf numFmtId="0" fontId="6" fillId="0" borderId="96" xfId="0" applyFont="1" applyBorder="1" applyAlignment="1">
      <alignment horizontal="center" vertical="center"/>
    </xf>
    <xf numFmtId="0" fontId="6" fillId="0" borderId="97" xfId="0" applyFont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5" fillId="8" borderId="83" xfId="0" applyFont="1" applyFill="1" applyBorder="1" applyAlignment="1">
      <alignment horizontal="center" vertical="center" wrapText="1"/>
    </xf>
    <xf numFmtId="0" fontId="5" fillId="8" borderId="85" xfId="0" applyFont="1" applyFill="1" applyBorder="1" applyAlignment="1">
      <alignment horizontal="center" vertical="center" wrapText="1"/>
    </xf>
    <xf numFmtId="0" fontId="7" fillId="4" borderId="86" xfId="0" applyFont="1" applyFill="1" applyBorder="1" applyAlignment="1">
      <alignment horizontal="center" vertical="center"/>
    </xf>
    <xf numFmtId="0" fontId="6" fillId="0" borderId="87" xfId="0" applyFont="1" applyBorder="1" applyAlignment="1">
      <alignment horizontal="center" vertical="center"/>
    </xf>
    <xf numFmtId="0" fontId="6" fillId="0" borderId="98" xfId="0" applyFont="1" applyBorder="1" applyAlignment="1">
      <alignment horizontal="center" vertical="center"/>
    </xf>
    <xf numFmtId="0" fontId="6" fillId="0" borderId="89" xfId="0" applyFont="1" applyBorder="1" applyAlignment="1">
      <alignment horizontal="center" vertical="center"/>
    </xf>
    <xf numFmtId="0" fontId="6" fillId="0" borderId="99" xfId="0" applyFont="1" applyBorder="1" applyAlignment="1">
      <alignment horizontal="center" vertical="center"/>
    </xf>
    <xf numFmtId="0" fontId="6" fillId="0" borderId="100" xfId="0" applyFont="1" applyBorder="1" applyAlignment="1">
      <alignment horizontal="center" vertical="center"/>
    </xf>
    <xf numFmtId="0" fontId="6" fillId="0" borderId="90" xfId="0" applyFont="1" applyBorder="1" applyAlignment="1">
      <alignment horizontal="center" vertical="center"/>
    </xf>
    <xf numFmtId="0" fontId="5" fillId="8" borderId="83" xfId="0" applyFont="1" applyFill="1" applyBorder="1" applyAlignment="1">
      <alignment horizontal="center" vertical="center" wrapText="1"/>
    </xf>
    <xf numFmtId="0" fontId="7" fillId="4" borderId="72" xfId="0" applyFont="1" applyFill="1" applyBorder="1" applyAlignment="1">
      <alignment horizontal="center" vertical="center"/>
    </xf>
    <xf numFmtId="0" fontId="6" fillId="0" borderId="101" xfId="0" applyFont="1" applyBorder="1" applyAlignment="1">
      <alignment horizontal="center" vertical="center"/>
    </xf>
    <xf numFmtId="0" fontId="6" fillId="0" borderId="102" xfId="0" applyFont="1" applyBorder="1" applyAlignment="1">
      <alignment horizontal="center" vertical="center"/>
    </xf>
    <xf numFmtId="0" fontId="6" fillId="0" borderId="103" xfId="0" applyFont="1" applyBorder="1" applyAlignment="1">
      <alignment horizontal="center" vertical="center"/>
    </xf>
    <xf numFmtId="0" fontId="5" fillId="8" borderId="84" xfId="0" applyFont="1" applyFill="1" applyBorder="1" applyAlignment="1">
      <alignment horizontal="center" vertical="center" wrapText="1"/>
    </xf>
    <xf numFmtId="0" fontId="23" fillId="4" borderId="86" xfId="0" applyFont="1" applyFill="1" applyBorder="1" applyAlignment="1">
      <alignment horizontal="center" vertical="center"/>
    </xf>
    <xf numFmtId="0" fontId="24" fillId="4" borderId="78" xfId="0" applyFont="1" applyFill="1" applyBorder="1" applyAlignment="1">
      <alignment horizontal="center" vertical="center" wrapText="1"/>
    </xf>
    <xf numFmtId="0" fontId="25" fillId="0" borderId="87" xfId="0" applyFont="1" applyBorder="1" applyAlignment="1">
      <alignment horizontal="center" vertical="center"/>
    </xf>
    <xf numFmtId="0" fontId="25" fillId="0" borderId="98" xfId="0" applyFont="1" applyBorder="1" applyAlignment="1">
      <alignment horizontal="center" vertical="center"/>
    </xf>
    <xf numFmtId="0" fontId="6" fillId="0" borderId="104" xfId="0" applyFont="1" applyBorder="1" applyAlignment="1">
      <alignment horizontal="center" vertical="center"/>
    </xf>
    <xf numFmtId="0" fontId="7" fillId="4" borderId="56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vertical="center"/>
    </xf>
    <xf numFmtId="0" fontId="0" fillId="30" borderId="0" xfId="0" applyFill="1" applyBorder="1"/>
    <xf numFmtId="0" fontId="5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0" fillId="0" borderId="0" xfId="0" applyFill="1" applyBorder="1"/>
    <xf numFmtId="0" fontId="7" fillId="3" borderId="34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06" xfId="0" applyFont="1" applyBorder="1" applyAlignment="1">
      <alignment horizontal="center" vertical="center"/>
    </xf>
    <xf numFmtId="0" fontId="5" fillId="27" borderId="93" xfId="0" applyFont="1" applyFill="1" applyBorder="1" applyAlignment="1">
      <alignment horizontal="center" vertical="center" wrapText="1"/>
    </xf>
    <xf numFmtId="0" fontId="7" fillId="9" borderId="94" xfId="0" applyFont="1" applyFill="1" applyBorder="1" applyAlignment="1">
      <alignment horizontal="center" vertical="center"/>
    </xf>
    <xf numFmtId="0" fontId="6" fillId="0" borderId="107" xfId="0" applyFont="1" applyBorder="1" applyAlignment="1">
      <alignment horizontal="center" vertical="center"/>
    </xf>
    <xf numFmtId="0" fontId="7" fillId="9" borderId="34" xfId="0" applyFont="1" applyFill="1" applyBorder="1" applyAlignment="1">
      <alignment horizontal="center" vertical="center"/>
    </xf>
    <xf numFmtId="0" fontId="5" fillId="25" borderId="83" xfId="0" applyFont="1" applyFill="1" applyBorder="1" applyAlignment="1">
      <alignment horizontal="center" vertical="center" wrapText="1"/>
    </xf>
    <xf numFmtId="0" fontId="5" fillId="25" borderId="84" xfId="0" applyFont="1" applyFill="1" applyBorder="1" applyAlignment="1">
      <alignment horizontal="center" vertical="center" wrapText="1"/>
    </xf>
    <xf numFmtId="0" fontId="5" fillId="25" borderId="85" xfId="0" applyFont="1" applyFill="1" applyBorder="1" applyAlignment="1">
      <alignment horizontal="center" vertical="center" wrapText="1"/>
    </xf>
    <xf numFmtId="0" fontId="7" fillId="3" borderId="86" xfId="0" applyFont="1" applyFill="1" applyBorder="1" applyAlignment="1">
      <alignment horizontal="center" vertical="center"/>
    </xf>
    <xf numFmtId="0" fontId="7" fillId="3" borderId="108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0" fontId="6" fillId="0" borderId="109" xfId="0" applyFont="1" applyBorder="1" applyAlignment="1">
      <alignment horizontal="center" vertical="center"/>
    </xf>
    <xf numFmtId="0" fontId="6" fillId="0" borderId="105" xfId="0" applyFont="1" applyBorder="1" applyAlignment="1">
      <alignment horizontal="center" vertical="center"/>
    </xf>
    <xf numFmtId="0" fontId="25" fillId="0" borderId="110" xfId="0" applyFont="1" applyBorder="1" applyAlignment="1">
      <alignment horizontal="center" vertical="center"/>
    </xf>
    <xf numFmtId="0" fontId="5" fillId="25" borderId="83" xfId="0" applyFont="1" applyFill="1" applyBorder="1" applyAlignment="1">
      <alignment vertical="center" wrapText="1"/>
    </xf>
    <xf numFmtId="0" fontId="7" fillId="3" borderId="72" xfId="0" applyFont="1" applyFill="1" applyBorder="1" applyAlignment="1">
      <alignment horizontal="center" vertical="center"/>
    </xf>
    <xf numFmtId="0" fontId="6" fillId="0" borderId="111" xfId="0" applyFont="1" applyBorder="1" applyAlignment="1">
      <alignment horizontal="center" vertical="center"/>
    </xf>
    <xf numFmtId="0" fontId="5" fillId="22" borderId="84" xfId="0" applyFont="1" applyFill="1" applyBorder="1" applyAlignment="1">
      <alignment horizontal="center" vertical="center" wrapText="1"/>
    </xf>
    <xf numFmtId="0" fontId="5" fillId="22" borderId="85" xfId="0" applyFont="1" applyFill="1" applyBorder="1" applyAlignment="1">
      <alignment horizontal="center" vertical="center" wrapText="1"/>
    </xf>
    <xf numFmtId="0" fontId="7" fillId="24" borderId="108" xfId="0" applyFont="1" applyFill="1" applyBorder="1" applyAlignment="1">
      <alignment horizontal="center" vertical="center"/>
    </xf>
    <xf numFmtId="0" fontId="22" fillId="0" borderId="112" xfId="0" applyFont="1" applyBorder="1" applyAlignment="1">
      <alignment horizontal="center" vertical="center"/>
    </xf>
    <xf numFmtId="0" fontId="22" fillId="0" borderId="113" xfId="0" applyFont="1" applyBorder="1" applyAlignment="1">
      <alignment horizontal="center" vertical="center"/>
    </xf>
    <xf numFmtId="0" fontId="22" fillId="0" borderId="114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0" fontId="5" fillId="22" borderId="93" xfId="0" applyFont="1" applyFill="1" applyBorder="1" applyAlignment="1">
      <alignment vertical="center" wrapText="1"/>
    </xf>
    <xf numFmtId="0" fontId="7" fillId="24" borderId="94" xfId="0" applyFont="1" applyFill="1" applyBorder="1" applyAlignment="1">
      <alignment horizontal="center" vertical="center"/>
    </xf>
    <xf numFmtId="0" fontId="21" fillId="0" borderId="96" xfId="0" applyFont="1" applyBorder="1" applyAlignment="1">
      <alignment horizontal="center" vertical="center"/>
    </xf>
    <xf numFmtId="0" fontId="7" fillId="12" borderId="109" xfId="0" applyFont="1" applyFill="1" applyBorder="1" applyAlignment="1">
      <alignment horizontal="center" vertical="center" wrapText="1"/>
    </xf>
    <xf numFmtId="0" fontId="6" fillId="0" borderId="115" xfId="0" applyFont="1" applyBorder="1" applyAlignment="1">
      <alignment horizontal="center" vertical="center"/>
    </xf>
    <xf numFmtId="0" fontId="7" fillId="24" borderId="36" xfId="0" applyFont="1" applyFill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16" xfId="0" applyFont="1" applyBorder="1" applyAlignment="1">
      <alignment horizontal="center" vertical="center"/>
    </xf>
    <xf numFmtId="0" fontId="5" fillId="21" borderId="93" xfId="0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center" vertical="center"/>
    </xf>
    <xf numFmtId="0" fontId="6" fillId="0" borderId="117" xfId="0" applyFont="1" applyBorder="1" applyAlignment="1">
      <alignment horizontal="center" vertical="center"/>
    </xf>
    <xf numFmtId="0" fontId="6" fillId="0" borderId="118" xfId="0" applyFont="1" applyBorder="1" applyAlignment="1">
      <alignment horizontal="center" vertical="center"/>
    </xf>
    <xf numFmtId="0" fontId="7" fillId="5" borderId="94" xfId="0" applyFont="1" applyFill="1" applyBorder="1" applyAlignment="1">
      <alignment horizontal="center" vertical="center" wrapText="1"/>
    </xf>
    <xf numFmtId="0" fontId="25" fillId="0" borderId="95" xfId="0" applyFont="1" applyBorder="1" applyAlignment="1">
      <alignment horizontal="center" vertical="center"/>
    </xf>
    <xf numFmtId="0" fontId="5" fillId="21" borderId="83" xfId="0" applyFont="1" applyFill="1" applyBorder="1" applyAlignment="1">
      <alignment horizontal="center" vertical="center" wrapText="1"/>
    </xf>
    <xf numFmtId="0" fontId="7" fillId="5" borderId="72" xfId="0" applyFont="1" applyFill="1" applyBorder="1" applyAlignment="1">
      <alignment horizontal="center" vertical="center"/>
    </xf>
    <xf numFmtId="0" fontId="25" fillId="0" borderId="119" xfId="0" applyFont="1" applyBorder="1" applyAlignment="1">
      <alignment horizontal="center" vertical="center"/>
    </xf>
    <xf numFmtId="0" fontId="25" fillId="0" borderId="120" xfId="0" applyFont="1" applyBorder="1" applyAlignment="1">
      <alignment horizontal="center" vertical="center"/>
    </xf>
    <xf numFmtId="0" fontId="25" fillId="0" borderId="121" xfId="0" applyFont="1" applyBorder="1" applyAlignment="1">
      <alignment horizontal="center" vertical="center"/>
    </xf>
    <xf numFmtId="0" fontId="25" fillId="0" borderId="122" xfId="0" applyFont="1" applyBorder="1" applyAlignment="1">
      <alignment horizontal="center" vertical="center"/>
    </xf>
    <xf numFmtId="0" fontId="25" fillId="0" borderId="123" xfId="0" applyFont="1" applyBorder="1" applyAlignment="1">
      <alignment horizontal="center" vertical="center"/>
    </xf>
    <xf numFmtId="0" fontId="0" fillId="0" borderId="124" xfId="0" applyBorder="1"/>
    <xf numFmtId="0" fontId="0" fillId="0" borderId="119" xfId="0" applyBorder="1"/>
    <xf numFmtId="0" fontId="0" fillId="0" borderId="126" xfId="0" applyBorder="1"/>
    <xf numFmtId="0" fontId="0" fillId="0" borderId="65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121" xfId="0" applyBorder="1" applyAlignment="1">
      <alignment horizontal="center"/>
    </xf>
    <xf numFmtId="0" fontId="0" fillId="0" borderId="125" xfId="0" applyBorder="1" applyAlignment="1">
      <alignment horizontal="center"/>
    </xf>
  </cellXfs>
  <cellStyles count="2">
    <cellStyle name="Normal" xfId="0" builtinId="0"/>
    <cellStyle name="Porcentaje" xfId="1" builtinId="5"/>
  </cellStyles>
  <dxfs count="3"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66"/>
      <color rgb="FFFFFF99"/>
      <color rgb="FFFFFF0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9F6F-EF9C-4E24-9AE6-3F9D0D64CEFB}">
  <sheetPr>
    <pageSetUpPr fitToPage="1"/>
  </sheetPr>
  <dimension ref="A1:AH29"/>
  <sheetViews>
    <sheetView tabSelected="1" zoomScale="85" zoomScaleNormal="85" workbookViewId="0">
      <selection activeCell="AE12" sqref="AE12"/>
    </sheetView>
  </sheetViews>
  <sheetFormatPr defaultColWidth="11.42578125" defaultRowHeight="15.75"/>
  <cols>
    <col min="1" max="1" width="2.5703125" style="294" customWidth="1"/>
    <col min="2" max="2" width="11.85546875" style="150" bestFit="1" customWidth="1"/>
    <col min="3" max="3" width="9" style="150" bestFit="1" customWidth="1"/>
    <col min="4" max="4" width="36.140625" style="150" bestFit="1" customWidth="1"/>
    <col min="5" max="32" width="5.7109375" style="150" customWidth="1"/>
    <col min="33" max="16384" width="11.42578125" style="150"/>
  </cols>
  <sheetData>
    <row r="1" spans="1:34" s="294" customFormat="1" ht="16.5" thickBot="1"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298"/>
      <c r="AA1" s="298"/>
      <c r="AB1" s="298"/>
      <c r="AC1" s="298"/>
      <c r="AD1" s="298"/>
      <c r="AE1" s="298"/>
    </row>
    <row r="2" spans="1:34" s="204" customFormat="1" ht="22.5" customHeight="1" thickBot="1">
      <c r="A2" s="295"/>
      <c r="B2" s="376" t="s">
        <v>0</v>
      </c>
      <c r="C2" s="377"/>
      <c r="D2" s="247" t="s">
        <v>1</v>
      </c>
      <c r="E2" s="361" t="s">
        <v>2</v>
      </c>
      <c r="F2" s="362"/>
      <c r="G2" s="362"/>
      <c r="H2" s="363"/>
      <c r="I2" s="364" t="s">
        <v>3</v>
      </c>
      <c r="J2" s="365"/>
      <c r="K2" s="365"/>
      <c r="L2" s="365"/>
      <c r="M2" s="366"/>
      <c r="N2" s="367" t="s">
        <v>4</v>
      </c>
      <c r="O2" s="368"/>
      <c r="P2" s="368"/>
      <c r="Q2" s="368"/>
      <c r="R2" s="369"/>
      <c r="S2" s="370" t="s">
        <v>5</v>
      </c>
      <c r="T2" s="371"/>
      <c r="U2" s="371"/>
      <c r="V2" s="371"/>
      <c r="W2" s="372"/>
      <c r="X2" s="373" t="s">
        <v>6</v>
      </c>
      <c r="Y2" s="374"/>
      <c r="Z2" s="374"/>
      <c r="AA2" s="375"/>
      <c r="AB2" s="354" t="s">
        <v>7</v>
      </c>
      <c r="AC2" s="355"/>
      <c r="AD2" s="355"/>
      <c r="AE2" s="355"/>
      <c r="AF2" s="355"/>
      <c r="AG2" s="295"/>
      <c r="AH2" s="295"/>
    </row>
    <row r="3" spans="1:34" s="208" customFormat="1" ht="16.5" thickBot="1">
      <c r="A3" s="296"/>
      <c r="B3" s="205" t="s">
        <v>8</v>
      </c>
      <c r="C3" s="206" t="s">
        <v>9</v>
      </c>
      <c r="D3" s="207" t="s">
        <v>10</v>
      </c>
      <c r="E3" s="151">
        <v>1.1000000000000001</v>
      </c>
      <c r="F3" s="152">
        <v>1.2</v>
      </c>
      <c r="G3" s="152">
        <v>1.3</v>
      </c>
      <c r="H3" s="153">
        <v>1.4</v>
      </c>
      <c r="I3" s="154">
        <v>2.1</v>
      </c>
      <c r="J3" s="155">
        <v>2.2000000000000002</v>
      </c>
      <c r="K3" s="155">
        <v>2.2999999999999998</v>
      </c>
      <c r="L3" s="155">
        <v>2.4</v>
      </c>
      <c r="M3" s="156">
        <v>2.5</v>
      </c>
      <c r="N3" s="157">
        <v>3.1</v>
      </c>
      <c r="O3" s="158">
        <v>3.2</v>
      </c>
      <c r="P3" s="158">
        <v>3.3</v>
      </c>
      <c r="Q3" s="158">
        <v>3.4</v>
      </c>
      <c r="R3" s="159">
        <v>3.5</v>
      </c>
      <c r="S3" s="160">
        <v>4.0999999999999996</v>
      </c>
      <c r="T3" s="161">
        <v>4.2</v>
      </c>
      <c r="U3" s="161">
        <v>4.3</v>
      </c>
      <c r="V3" s="161">
        <v>4.4000000000000004</v>
      </c>
      <c r="W3" s="162">
        <v>4.5</v>
      </c>
      <c r="X3" s="163">
        <v>5.0999999999999996</v>
      </c>
      <c r="Y3" s="164">
        <v>5.2</v>
      </c>
      <c r="Z3" s="164">
        <v>5.3</v>
      </c>
      <c r="AA3" s="165">
        <v>5.4</v>
      </c>
      <c r="AB3" s="166">
        <v>6.1</v>
      </c>
      <c r="AC3" s="167">
        <v>6.2</v>
      </c>
      <c r="AD3" s="167">
        <v>6.3</v>
      </c>
      <c r="AE3" s="167">
        <v>6.4</v>
      </c>
      <c r="AF3" s="168">
        <v>6.5</v>
      </c>
      <c r="AG3" s="303"/>
      <c r="AH3" s="303"/>
    </row>
    <row r="4" spans="1:34" s="208" customFormat="1">
      <c r="A4" s="297"/>
      <c r="B4" s="356" t="s">
        <v>11</v>
      </c>
      <c r="C4" s="209">
        <v>9</v>
      </c>
      <c r="D4" s="210" t="s">
        <v>12</v>
      </c>
      <c r="E4" s="211" t="s">
        <v>13</v>
      </c>
      <c r="F4" s="212" t="s">
        <v>13</v>
      </c>
      <c r="G4" s="212" t="s">
        <v>13</v>
      </c>
      <c r="H4" s="213" t="s">
        <v>13</v>
      </c>
      <c r="I4" s="214"/>
      <c r="J4" s="212" t="s">
        <v>13</v>
      </c>
      <c r="K4" s="215"/>
      <c r="L4" s="215"/>
      <c r="M4" s="213" t="s">
        <v>13</v>
      </c>
      <c r="N4" s="214"/>
      <c r="O4" s="215"/>
      <c r="P4" s="212" t="s">
        <v>13</v>
      </c>
      <c r="Q4" s="215"/>
      <c r="R4" s="213" t="s">
        <v>13</v>
      </c>
      <c r="S4" s="214"/>
      <c r="T4" s="215"/>
      <c r="U4" s="215"/>
      <c r="V4" s="215"/>
      <c r="W4" s="216"/>
      <c r="X4" s="214"/>
      <c r="Y4" s="215"/>
      <c r="Z4" s="215"/>
      <c r="AA4" s="216"/>
      <c r="AB4" s="217" t="s">
        <v>13</v>
      </c>
      <c r="AC4" s="215"/>
      <c r="AD4" s="215"/>
      <c r="AE4" s="215"/>
      <c r="AF4" s="218"/>
      <c r="AG4" s="303"/>
      <c r="AH4" s="303"/>
    </row>
    <row r="5" spans="1:34" s="208" customFormat="1">
      <c r="A5" s="297"/>
      <c r="B5" s="357"/>
      <c r="C5" s="219">
        <v>12</v>
      </c>
      <c r="D5" s="220" t="s">
        <v>14</v>
      </c>
      <c r="E5" s="211" t="s">
        <v>13</v>
      </c>
      <c r="F5" s="212" t="s">
        <v>13</v>
      </c>
      <c r="G5" s="212" t="s">
        <v>13</v>
      </c>
      <c r="H5" s="213" t="s">
        <v>13</v>
      </c>
      <c r="I5" s="217" t="s">
        <v>13</v>
      </c>
      <c r="J5" s="212" t="s">
        <v>13</v>
      </c>
      <c r="K5" s="212" t="s">
        <v>13</v>
      </c>
      <c r="L5" s="212" t="s">
        <v>13</v>
      </c>
      <c r="M5" s="213" t="s">
        <v>13</v>
      </c>
      <c r="N5" s="217" t="s">
        <v>13</v>
      </c>
      <c r="O5" s="212" t="s">
        <v>13</v>
      </c>
      <c r="P5" s="212" t="s">
        <v>13</v>
      </c>
      <c r="Q5" s="212" t="s">
        <v>13</v>
      </c>
      <c r="R5" s="213" t="s">
        <v>13</v>
      </c>
      <c r="S5" s="221"/>
      <c r="T5" s="222"/>
      <c r="U5" s="222"/>
      <c r="V5" s="222"/>
      <c r="W5" s="223"/>
      <c r="X5" s="224"/>
      <c r="Y5" s="171"/>
      <c r="Z5" s="171"/>
      <c r="AA5" s="172"/>
      <c r="AB5" s="217" t="s">
        <v>13</v>
      </c>
      <c r="AC5" s="212" t="s">
        <v>13</v>
      </c>
      <c r="AD5" s="212" t="s">
        <v>13</v>
      </c>
      <c r="AE5" s="212" t="s">
        <v>13</v>
      </c>
      <c r="AF5" s="225" t="s">
        <v>13</v>
      </c>
      <c r="AG5" s="303"/>
      <c r="AH5" s="303"/>
    </row>
    <row r="6" spans="1:34" s="208" customFormat="1">
      <c r="A6" s="297"/>
      <c r="B6" s="358"/>
      <c r="C6" s="226">
        <v>14</v>
      </c>
      <c r="D6" s="227" t="s">
        <v>15</v>
      </c>
      <c r="E6" s="228" t="s">
        <v>13</v>
      </c>
      <c r="F6" s="229" t="s">
        <v>13</v>
      </c>
      <c r="G6" s="229" t="s">
        <v>13</v>
      </c>
      <c r="H6" s="230" t="s">
        <v>13</v>
      </c>
      <c r="I6" s="228" t="s">
        <v>13</v>
      </c>
      <c r="J6" s="229" t="s">
        <v>13</v>
      </c>
      <c r="K6" s="229" t="s">
        <v>13</v>
      </c>
      <c r="L6" s="229" t="s">
        <v>13</v>
      </c>
      <c r="M6" s="230" t="s">
        <v>13</v>
      </c>
      <c r="N6" s="228" t="s">
        <v>13</v>
      </c>
      <c r="O6" s="229" t="s">
        <v>13</v>
      </c>
      <c r="P6" s="229" t="s">
        <v>13</v>
      </c>
      <c r="Q6" s="229" t="s">
        <v>13</v>
      </c>
      <c r="R6" s="230" t="s">
        <v>13</v>
      </c>
      <c r="S6" s="231"/>
      <c r="T6" s="232"/>
      <c r="U6" s="232"/>
      <c r="V6" s="232"/>
      <c r="W6" s="233"/>
      <c r="X6" s="228" t="s">
        <v>13</v>
      </c>
      <c r="Y6" s="229" t="s">
        <v>13</v>
      </c>
      <c r="Z6" s="229" t="s">
        <v>13</v>
      </c>
      <c r="AA6" s="230" t="s">
        <v>13</v>
      </c>
      <c r="AB6" s="228" t="s">
        <v>13</v>
      </c>
      <c r="AC6" s="229" t="s">
        <v>13</v>
      </c>
      <c r="AD6" s="229" t="s">
        <v>13</v>
      </c>
      <c r="AE6" s="229" t="s">
        <v>13</v>
      </c>
      <c r="AF6" s="234" t="s">
        <v>13</v>
      </c>
      <c r="AG6" s="303"/>
      <c r="AH6" s="303"/>
    </row>
    <row r="7" spans="1:34" s="208" customFormat="1">
      <c r="A7" s="297"/>
      <c r="B7" s="359" t="s">
        <v>16</v>
      </c>
      <c r="C7" s="209">
        <v>20</v>
      </c>
      <c r="D7" s="210" t="s">
        <v>17</v>
      </c>
      <c r="E7" s="235"/>
      <c r="F7" s="216"/>
      <c r="G7" s="331" t="s">
        <v>13</v>
      </c>
      <c r="H7" s="327" t="s">
        <v>13</v>
      </c>
      <c r="I7" s="326" t="s">
        <v>13</v>
      </c>
      <c r="J7" s="328" t="s">
        <v>13</v>
      </c>
      <c r="K7" s="215"/>
      <c r="L7" s="215"/>
      <c r="M7" s="216"/>
      <c r="N7" s="326" t="s">
        <v>13</v>
      </c>
      <c r="O7" s="328" t="s">
        <v>13</v>
      </c>
      <c r="P7" s="215"/>
      <c r="Q7" s="215"/>
      <c r="R7" s="216"/>
      <c r="S7" s="326" t="s">
        <v>13</v>
      </c>
      <c r="T7" s="328" t="s">
        <v>13</v>
      </c>
      <c r="U7" s="329"/>
      <c r="V7" s="329"/>
      <c r="W7" s="330"/>
      <c r="X7" s="326" t="s">
        <v>13</v>
      </c>
      <c r="Y7" s="328" t="s">
        <v>13</v>
      </c>
      <c r="Z7" s="215"/>
      <c r="AA7" s="216"/>
      <c r="AB7" s="214"/>
      <c r="AC7" s="215"/>
      <c r="AD7" s="215"/>
      <c r="AE7" s="215"/>
      <c r="AF7" s="218"/>
      <c r="AG7" s="303"/>
      <c r="AH7" s="303"/>
    </row>
    <row r="8" spans="1:34" s="208" customFormat="1">
      <c r="A8" s="297"/>
      <c r="B8" s="360"/>
      <c r="C8" s="226">
        <v>17</v>
      </c>
      <c r="D8" s="227" t="s">
        <v>18</v>
      </c>
      <c r="E8" s="228" t="s">
        <v>13</v>
      </c>
      <c r="F8" s="229" t="s">
        <v>13</v>
      </c>
      <c r="G8" s="240"/>
      <c r="H8" s="241" t="s">
        <v>13</v>
      </c>
      <c r="I8" s="242" t="s">
        <v>13</v>
      </c>
      <c r="J8" s="240"/>
      <c r="K8" s="232"/>
      <c r="L8" s="232"/>
      <c r="M8" s="233"/>
      <c r="N8" s="245"/>
      <c r="O8" s="240"/>
      <c r="P8" s="232"/>
      <c r="Q8" s="232"/>
      <c r="R8" s="233"/>
      <c r="S8" s="245"/>
      <c r="T8" s="240"/>
      <c r="U8" s="240"/>
      <c r="V8" s="240"/>
      <c r="W8" s="246"/>
      <c r="X8" s="239"/>
      <c r="Y8" s="240"/>
      <c r="Z8" s="232"/>
      <c r="AA8" s="233"/>
      <c r="AB8" s="231"/>
      <c r="AC8" s="232"/>
      <c r="AD8" s="232"/>
      <c r="AE8" s="232"/>
      <c r="AF8" s="234" t="s">
        <v>13</v>
      </c>
      <c r="AG8" s="303"/>
      <c r="AH8" s="303"/>
    </row>
    <row r="9" spans="1:34" s="208" customFormat="1" ht="16.5" thickBot="1">
      <c r="A9" s="297"/>
      <c r="B9" s="236" t="s">
        <v>19</v>
      </c>
      <c r="C9" s="237">
        <v>35</v>
      </c>
      <c r="D9" s="238" t="s">
        <v>20</v>
      </c>
      <c r="E9" s="239"/>
      <c r="F9" s="240"/>
      <c r="G9" s="240"/>
      <c r="H9" s="241" t="s">
        <v>13</v>
      </c>
      <c r="I9" s="242" t="s">
        <v>13</v>
      </c>
      <c r="J9" s="243" t="s">
        <v>13</v>
      </c>
      <c r="K9" s="243" t="s">
        <v>13</v>
      </c>
      <c r="L9" s="240"/>
      <c r="M9" s="244"/>
      <c r="N9" s="242" t="s">
        <v>13</v>
      </c>
      <c r="O9" s="240"/>
      <c r="P9" s="243" t="s">
        <v>13</v>
      </c>
      <c r="Q9" s="240"/>
      <c r="R9" s="244"/>
      <c r="S9" s="242" t="s">
        <v>13</v>
      </c>
      <c r="T9" s="243" t="s">
        <v>13</v>
      </c>
      <c r="U9" s="243" t="s">
        <v>13</v>
      </c>
      <c r="V9" s="243" t="s">
        <v>13</v>
      </c>
      <c r="W9" s="241" t="s">
        <v>13</v>
      </c>
      <c r="X9" s="242" t="s">
        <v>13</v>
      </c>
      <c r="Y9" s="243" t="s">
        <v>13</v>
      </c>
      <c r="Z9" s="240"/>
      <c r="AA9" s="244"/>
      <c r="AB9" s="245"/>
      <c r="AC9" s="240"/>
      <c r="AD9" s="240"/>
      <c r="AE9" s="240"/>
      <c r="AF9" s="246"/>
      <c r="AG9" s="303"/>
      <c r="AH9" s="303"/>
    </row>
    <row r="10" spans="1:34">
      <c r="A10" s="298"/>
      <c r="B10" s="298"/>
      <c r="C10" s="298"/>
      <c r="D10" s="294"/>
      <c r="E10" s="294"/>
      <c r="F10" s="294"/>
      <c r="G10" s="294"/>
      <c r="H10" s="294"/>
      <c r="I10" s="294"/>
      <c r="J10" s="294"/>
      <c r="K10" s="294"/>
      <c r="L10" s="294"/>
      <c r="M10" s="294"/>
      <c r="N10" s="294"/>
      <c r="O10" s="294"/>
      <c r="P10" s="294"/>
      <c r="Q10" s="294"/>
      <c r="R10" s="294"/>
      <c r="S10" s="294"/>
      <c r="T10" s="294"/>
      <c r="U10" s="294"/>
      <c r="V10" s="294"/>
      <c r="W10" s="294"/>
      <c r="X10" s="294"/>
      <c r="Y10" s="294"/>
      <c r="Z10" s="294"/>
      <c r="AA10" s="294"/>
      <c r="AB10" s="294"/>
      <c r="AC10" s="294"/>
      <c r="AD10" s="294"/>
      <c r="AE10" s="294"/>
      <c r="AF10" s="294"/>
      <c r="AG10" s="294"/>
      <c r="AH10" s="294"/>
    </row>
    <row r="11" spans="1:34">
      <c r="B11" s="294"/>
      <c r="C11" s="294"/>
      <c r="D11" s="294"/>
      <c r="E11" s="294"/>
      <c r="F11" s="294"/>
      <c r="G11" s="294"/>
      <c r="H11" s="294"/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  <c r="Z11" s="294"/>
      <c r="AA11" s="294"/>
      <c r="AB11" s="294"/>
      <c r="AC11" s="294"/>
      <c r="AD11" s="294"/>
      <c r="AE11" s="294"/>
      <c r="AF11" s="294"/>
      <c r="AG11" s="294"/>
      <c r="AH11" s="294"/>
    </row>
    <row r="12" spans="1:34">
      <c r="B12" s="294"/>
      <c r="C12" s="294"/>
      <c r="D12" s="294"/>
      <c r="E12" s="294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  <c r="AA12" s="294"/>
      <c r="AB12" s="294"/>
      <c r="AC12" s="294"/>
      <c r="AD12" s="294"/>
      <c r="AE12" s="294"/>
      <c r="AF12" s="294"/>
      <c r="AG12" s="294"/>
      <c r="AH12" s="294"/>
    </row>
    <row r="13" spans="1:34">
      <c r="B13" s="294"/>
      <c r="C13" s="294"/>
      <c r="D13" s="294"/>
      <c r="E13" s="294"/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4"/>
      <c r="AB13" s="294"/>
      <c r="AC13" s="294"/>
      <c r="AD13" s="294"/>
      <c r="AE13" s="294"/>
      <c r="AF13" s="294"/>
      <c r="AG13" s="294"/>
      <c r="AH13" s="294"/>
    </row>
    <row r="14" spans="1:34">
      <c r="B14" s="294"/>
      <c r="C14" s="294"/>
      <c r="D14" s="294"/>
      <c r="E14" s="294"/>
      <c r="F14" s="294"/>
      <c r="G14" s="294"/>
      <c r="H14" s="294"/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294"/>
      <c r="Z14" s="294"/>
      <c r="AA14" s="294"/>
      <c r="AB14" s="294"/>
      <c r="AC14" s="294"/>
      <c r="AD14" s="294"/>
      <c r="AE14" s="294"/>
      <c r="AF14" s="294"/>
      <c r="AG14" s="294"/>
      <c r="AH14" s="294"/>
    </row>
    <row r="15" spans="1:34">
      <c r="B15" s="294"/>
      <c r="C15" s="294"/>
      <c r="D15" s="299"/>
      <c r="E15" s="300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  <c r="AA15" s="294"/>
      <c r="AB15" s="294"/>
      <c r="AC15" s="294"/>
      <c r="AD15" s="294"/>
      <c r="AE15" s="294"/>
      <c r="AF15" s="294"/>
      <c r="AG15" s="294"/>
      <c r="AH15" s="294"/>
    </row>
    <row r="16" spans="1:34">
      <c r="B16" s="294"/>
      <c r="C16" s="294"/>
      <c r="D16" s="301"/>
      <c r="E16" s="300"/>
      <c r="F16" s="294"/>
      <c r="G16" s="294"/>
      <c r="H16" s="294"/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  <c r="Z16" s="294"/>
      <c r="AA16" s="294"/>
      <c r="AB16" s="294"/>
      <c r="AC16" s="294"/>
      <c r="AD16" s="294"/>
      <c r="AE16" s="294"/>
      <c r="AF16" s="294"/>
      <c r="AG16" s="294"/>
      <c r="AH16" s="294"/>
    </row>
    <row r="17" spans="2:34">
      <c r="B17" s="294"/>
      <c r="C17" s="294"/>
      <c r="D17" s="301"/>
      <c r="E17" s="300"/>
      <c r="F17" s="294"/>
      <c r="G17" s="294"/>
      <c r="H17" s="294"/>
      <c r="I17" s="294"/>
      <c r="J17" s="294"/>
      <c r="K17" s="294"/>
      <c r="L17" s="294"/>
      <c r="M17" s="294"/>
      <c r="N17" s="294"/>
      <c r="O17" s="294"/>
      <c r="P17" s="294"/>
      <c r="Q17" s="294"/>
      <c r="R17" s="294"/>
      <c r="S17" s="294"/>
      <c r="T17" s="294"/>
      <c r="U17" s="294"/>
      <c r="V17" s="294"/>
      <c r="W17" s="294"/>
      <c r="X17" s="294"/>
      <c r="Y17" s="294"/>
      <c r="Z17" s="294"/>
      <c r="AA17" s="294"/>
      <c r="AB17" s="294"/>
      <c r="AC17" s="294"/>
      <c r="AD17" s="294"/>
      <c r="AE17" s="294"/>
      <c r="AF17" s="294"/>
      <c r="AG17" s="294"/>
      <c r="AH17" s="294"/>
    </row>
    <row r="18" spans="2:34">
      <c r="B18" s="294"/>
      <c r="C18" s="294"/>
      <c r="D18" s="294"/>
      <c r="E18" s="302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294"/>
      <c r="Q18" s="294"/>
      <c r="R18" s="294"/>
      <c r="S18" s="294"/>
      <c r="T18" s="294"/>
      <c r="U18" s="294"/>
      <c r="V18" s="294"/>
      <c r="W18" s="294"/>
      <c r="X18" s="294"/>
      <c r="Y18" s="294"/>
      <c r="Z18" s="294"/>
      <c r="AA18" s="294"/>
      <c r="AB18" s="294"/>
      <c r="AC18" s="294"/>
      <c r="AD18" s="294"/>
      <c r="AE18" s="294"/>
      <c r="AF18" s="294"/>
      <c r="AG18" s="294"/>
      <c r="AH18" s="294"/>
    </row>
    <row r="19" spans="2:34"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294"/>
      <c r="AB19" s="294"/>
      <c r="AC19" s="294"/>
      <c r="AD19" s="294"/>
      <c r="AE19" s="294"/>
      <c r="AF19" s="294"/>
      <c r="AG19" s="294"/>
      <c r="AH19" s="294"/>
    </row>
    <row r="20" spans="2:34">
      <c r="B20" s="294"/>
      <c r="C20" s="294"/>
      <c r="D20" s="294"/>
      <c r="E20" s="294"/>
      <c r="F20" s="294"/>
      <c r="G20" s="294"/>
      <c r="H20" s="294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94"/>
      <c r="AB20" s="294"/>
      <c r="AC20" s="294"/>
      <c r="AD20" s="294"/>
      <c r="AE20" s="294"/>
      <c r="AF20" s="294"/>
      <c r="AG20" s="294"/>
      <c r="AH20" s="294"/>
    </row>
    <row r="21" spans="2:34">
      <c r="B21" s="294"/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4"/>
      <c r="AB21" s="294"/>
      <c r="AC21" s="294"/>
      <c r="AD21" s="294"/>
      <c r="AE21" s="294"/>
      <c r="AF21" s="294"/>
      <c r="AG21" s="294"/>
      <c r="AH21" s="294"/>
    </row>
    <row r="22" spans="2:34">
      <c r="B22" s="294"/>
      <c r="C22" s="294"/>
      <c r="D22" s="294"/>
      <c r="E22" s="294"/>
      <c r="F22" s="294"/>
      <c r="G22" s="294"/>
      <c r="H22" s="294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4"/>
      <c r="AA22" s="294"/>
      <c r="AB22" s="294"/>
      <c r="AC22" s="294"/>
      <c r="AD22" s="294"/>
      <c r="AE22" s="294"/>
      <c r="AF22" s="294"/>
      <c r="AG22" s="294"/>
      <c r="AH22" s="294"/>
    </row>
    <row r="23" spans="2:34">
      <c r="B23" s="294"/>
      <c r="C23" s="294"/>
      <c r="D23" s="294"/>
      <c r="E23" s="294"/>
      <c r="F23" s="294"/>
      <c r="G23" s="294"/>
      <c r="H23" s="294"/>
      <c r="I23" s="294"/>
      <c r="J23" s="294"/>
      <c r="K23" s="29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  <c r="Z23" s="294"/>
      <c r="AA23" s="294"/>
      <c r="AB23" s="294"/>
      <c r="AC23" s="294"/>
      <c r="AD23" s="294"/>
      <c r="AE23" s="294"/>
      <c r="AF23" s="294"/>
      <c r="AG23" s="294"/>
      <c r="AH23" s="294"/>
    </row>
    <row r="27" spans="2:34">
      <c r="J27" s="169"/>
    </row>
    <row r="29" spans="2:34">
      <c r="J29" s="170"/>
    </row>
  </sheetData>
  <mergeCells count="9">
    <mergeCell ref="AB2:AF2"/>
    <mergeCell ref="B4:B6"/>
    <mergeCell ref="B7:B8"/>
    <mergeCell ref="E2:H2"/>
    <mergeCell ref="I2:M2"/>
    <mergeCell ref="N2:R2"/>
    <mergeCell ref="S2:W2"/>
    <mergeCell ref="X2:AA2"/>
    <mergeCell ref="B2:C2"/>
  </mergeCells>
  <phoneticPr fontId="3" type="noConversion"/>
  <pageMargins left="0.7" right="0.7" top="0.75" bottom="0.75" header="0.3" footer="0.3"/>
  <pageSetup paperSize="8" orientation="landscape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50CD-78D4-4427-B285-98EEC3831804}">
  <dimension ref="A1:S20"/>
  <sheetViews>
    <sheetView workbookViewId="0">
      <selection activeCell="F24" sqref="F24"/>
    </sheetView>
  </sheetViews>
  <sheetFormatPr defaultColWidth="11.42578125" defaultRowHeight="15"/>
  <cols>
    <col min="1" max="1" width="2.28515625" style="7" customWidth="1"/>
    <col min="2" max="2" width="20.28515625" customWidth="1"/>
    <col min="3" max="3" width="18.140625" customWidth="1"/>
    <col min="4" max="4" width="1.85546875" customWidth="1"/>
    <col min="5" max="5" width="13.42578125" customWidth="1"/>
    <col min="6" max="6" width="22.140625" customWidth="1"/>
    <col min="7" max="7" width="1.5703125" style="7" customWidth="1"/>
    <col min="8" max="8" width="14.28515625" customWidth="1"/>
    <col min="9" max="9" width="21.28515625" customWidth="1"/>
    <col min="10" max="10" width="1.42578125" style="7" customWidth="1"/>
    <col min="11" max="11" width="14.42578125" customWidth="1"/>
    <col min="12" max="12" width="18.85546875" customWidth="1"/>
    <col min="13" max="13" width="1.42578125" style="7" customWidth="1"/>
    <col min="14" max="14" width="14.85546875" customWidth="1"/>
    <col min="15" max="15" width="18.7109375" customWidth="1"/>
    <col min="16" max="16" width="1.28515625" style="7" customWidth="1"/>
    <col min="17" max="17" width="14.28515625" customWidth="1"/>
    <col min="18" max="18" width="19.140625" customWidth="1"/>
  </cols>
  <sheetData>
    <row r="1" spans="2:19" ht="15.75" thickBot="1">
      <c r="D1" s="7"/>
      <c r="E1" s="7"/>
      <c r="F1" s="7"/>
      <c r="H1" s="7"/>
      <c r="I1" s="7"/>
      <c r="K1" s="7"/>
      <c r="L1" s="7"/>
      <c r="N1" s="7"/>
      <c r="O1" s="7"/>
      <c r="Q1" s="7"/>
      <c r="R1" s="7"/>
      <c r="S1" s="7"/>
    </row>
    <row r="2" spans="2:19" ht="29.25" customHeight="1" thickBot="1">
      <c r="B2" s="61" t="s">
        <v>21</v>
      </c>
      <c r="C2" s="62" t="s">
        <v>22</v>
      </c>
      <c r="D2" s="289"/>
      <c r="E2" s="290"/>
      <c r="F2" s="290"/>
      <c r="H2" s="7"/>
      <c r="I2" s="7"/>
      <c r="K2" s="7"/>
      <c r="L2" s="7"/>
      <c r="N2" s="7"/>
      <c r="O2" s="7"/>
      <c r="Q2" s="7"/>
      <c r="R2" s="7"/>
      <c r="S2" s="7"/>
    </row>
    <row r="3" spans="2:19">
      <c r="B3" s="68" t="s">
        <v>2</v>
      </c>
      <c r="C3" s="27">
        <f>1/6</f>
        <v>0.16666666666666666</v>
      </c>
      <c r="D3" s="60"/>
      <c r="E3" s="291"/>
      <c r="F3" s="292"/>
      <c r="H3" s="7"/>
      <c r="I3" s="7"/>
      <c r="K3" s="7"/>
      <c r="L3" s="7"/>
      <c r="N3" s="7"/>
      <c r="O3" s="7"/>
      <c r="Q3" s="7"/>
      <c r="R3" s="7"/>
      <c r="S3" s="7"/>
    </row>
    <row r="4" spans="2:19">
      <c r="B4" s="32" t="s">
        <v>3</v>
      </c>
      <c r="C4" s="33">
        <v>0.17</v>
      </c>
      <c r="D4" s="60"/>
      <c r="E4" s="291"/>
      <c r="F4" s="292"/>
      <c r="H4" s="7"/>
      <c r="I4" s="7"/>
      <c r="K4" s="7"/>
      <c r="L4" s="7"/>
      <c r="N4" s="7"/>
      <c r="O4" s="7"/>
      <c r="Q4" s="7"/>
      <c r="R4" s="7"/>
      <c r="S4" s="7"/>
    </row>
    <row r="5" spans="2:19">
      <c r="B5" s="39" t="s">
        <v>4</v>
      </c>
      <c r="C5" s="40">
        <f t="shared" ref="C5:C8" si="0">1/6</f>
        <v>0.16666666666666666</v>
      </c>
      <c r="D5" s="60"/>
      <c r="E5" s="291"/>
      <c r="F5" s="292"/>
      <c r="H5" s="7"/>
      <c r="I5" s="7"/>
      <c r="K5" s="7"/>
      <c r="L5" s="7"/>
      <c r="N5" s="7"/>
      <c r="O5" s="7"/>
      <c r="Q5" s="7"/>
      <c r="R5" s="7"/>
      <c r="S5" s="7"/>
    </row>
    <row r="6" spans="2:19">
      <c r="B6" s="69" t="s">
        <v>5</v>
      </c>
      <c r="C6" s="63">
        <v>0.17</v>
      </c>
      <c r="D6" s="60"/>
      <c r="E6" s="291"/>
      <c r="F6" s="292"/>
      <c r="H6" s="7"/>
      <c r="I6" s="7"/>
      <c r="K6" s="7"/>
      <c r="L6" s="7"/>
      <c r="N6" s="7"/>
      <c r="O6" s="7"/>
      <c r="Q6" s="7"/>
      <c r="R6" s="7"/>
      <c r="S6" s="7"/>
    </row>
    <row r="7" spans="2:19">
      <c r="B7" s="70" t="s">
        <v>6</v>
      </c>
      <c r="C7" s="64">
        <f t="shared" si="0"/>
        <v>0.16666666666666666</v>
      </c>
      <c r="D7" s="60"/>
      <c r="E7" s="291"/>
      <c r="F7" s="292"/>
      <c r="H7" s="7"/>
      <c r="I7" s="7"/>
      <c r="K7" s="7"/>
      <c r="L7" s="7"/>
      <c r="N7" s="7"/>
      <c r="O7" s="7"/>
      <c r="Q7" s="7"/>
      <c r="R7" s="7"/>
      <c r="S7" s="7"/>
    </row>
    <row r="8" spans="2:19">
      <c r="B8" s="71" t="s">
        <v>7</v>
      </c>
      <c r="C8" s="65">
        <f t="shared" si="0"/>
        <v>0.16666666666666666</v>
      </c>
      <c r="D8" s="60"/>
      <c r="E8" s="291"/>
      <c r="F8" s="292"/>
      <c r="H8" s="7"/>
      <c r="I8" s="7"/>
      <c r="K8" s="7"/>
      <c r="L8" s="7"/>
      <c r="N8" s="7"/>
      <c r="O8" s="7"/>
      <c r="Q8" s="7"/>
      <c r="R8" s="7"/>
      <c r="S8" s="7"/>
    </row>
    <row r="9" spans="2:19" ht="17.25" customHeight="1" thickBot="1">
      <c r="B9" s="66" t="s">
        <v>23</v>
      </c>
      <c r="C9" s="67">
        <v>1</v>
      </c>
      <c r="D9" s="60"/>
      <c r="E9" s="290"/>
      <c r="F9" s="293"/>
      <c r="H9" s="7"/>
      <c r="I9" s="7"/>
      <c r="K9" s="7"/>
      <c r="L9" s="7"/>
      <c r="N9" s="7"/>
      <c r="O9" s="7"/>
      <c r="Q9" s="7"/>
      <c r="R9" s="7"/>
      <c r="S9" s="7"/>
    </row>
    <row r="10" spans="2:19" ht="15.75" thickBot="1">
      <c r="B10" s="9"/>
      <c r="C10" s="7"/>
      <c r="D10" s="7"/>
      <c r="E10" s="7"/>
      <c r="F10" s="7"/>
      <c r="H10" s="7"/>
      <c r="I10" s="7"/>
      <c r="K10" s="7"/>
      <c r="L10" s="7"/>
      <c r="N10" s="7"/>
      <c r="O10" s="7"/>
      <c r="Q10" s="7"/>
      <c r="R10" s="7"/>
      <c r="S10" s="7"/>
    </row>
    <row r="11" spans="2:19" ht="23.25" customHeight="1" thickBot="1">
      <c r="B11" s="344" t="s">
        <v>24</v>
      </c>
      <c r="C11" s="345"/>
      <c r="D11" s="60"/>
      <c r="E11" s="346" t="s">
        <v>25</v>
      </c>
      <c r="F11" s="347"/>
      <c r="G11" s="60"/>
      <c r="H11" s="348" t="s">
        <v>26</v>
      </c>
      <c r="I11" s="349"/>
      <c r="J11" s="60"/>
      <c r="K11" s="350" t="s">
        <v>27</v>
      </c>
      <c r="L11" s="351"/>
      <c r="M11" s="60"/>
      <c r="N11" s="352" t="s">
        <v>28</v>
      </c>
      <c r="O11" s="353"/>
      <c r="P11" s="60"/>
      <c r="Q11" s="342" t="s">
        <v>29</v>
      </c>
      <c r="R11" s="343"/>
    </row>
    <row r="12" spans="2:19" ht="28.5" customHeight="1" thickBot="1">
      <c r="B12" s="10" t="s">
        <v>30</v>
      </c>
      <c r="C12" s="11" t="s">
        <v>31</v>
      </c>
      <c r="D12" s="60"/>
      <c r="E12" s="12" t="s">
        <v>30</v>
      </c>
      <c r="F12" s="13" t="s">
        <v>31</v>
      </c>
      <c r="G12" s="60"/>
      <c r="H12" s="14" t="s">
        <v>30</v>
      </c>
      <c r="I12" s="15" t="s">
        <v>31</v>
      </c>
      <c r="J12" s="60"/>
      <c r="K12" s="16" t="s">
        <v>30</v>
      </c>
      <c r="L12" s="17" t="s">
        <v>31</v>
      </c>
      <c r="M12" s="60"/>
      <c r="N12" s="18" t="s">
        <v>32</v>
      </c>
      <c r="O12" s="19" t="s">
        <v>31</v>
      </c>
      <c r="P12" s="60"/>
      <c r="Q12" s="20" t="s">
        <v>30</v>
      </c>
      <c r="R12" s="21" t="s">
        <v>31</v>
      </c>
    </row>
    <row r="13" spans="2:19">
      <c r="B13" s="23" t="s">
        <v>33</v>
      </c>
      <c r="C13" s="24">
        <f>1/4</f>
        <v>0.25</v>
      </c>
      <c r="D13" s="60"/>
      <c r="E13" s="30" t="s">
        <v>34</v>
      </c>
      <c r="F13" s="31">
        <v>0.2</v>
      </c>
      <c r="G13" s="60"/>
      <c r="H13" s="37" t="s">
        <v>35</v>
      </c>
      <c r="I13" s="38">
        <f>1/5</f>
        <v>0.2</v>
      </c>
      <c r="J13" s="60"/>
      <c r="K13" s="43" t="s">
        <v>36</v>
      </c>
      <c r="L13" s="44">
        <v>0.2</v>
      </c>
      <c r="M13" s="60"/>
      <c r="N13" s="49" t="s">
        <v>37</v>
      </c>
      <c r="O13" s="50">
        <v>0.25</v>
      </c>
      <c r="P13" s="60"/>
      <c r="Q13" s="54" t="s">
        <v>38</v>
      </c>
      <c r="R13" s="55">
        <f>1/5</f>
        <v>0.2</v>
      </c>
    </row>
    <row r="14" spans="2:19">
      <c r="B14" s="25" t="s">
        <v>39</v>
      </c>
      <c r="C14" s="26">
        <f t="shared" ref="C14" si="1">1/4</f>
        <v>0.25</v>
      </c>
      <c r="D14" s="60"/>
      <c r="E14" s="32" t="s">
        <v>40</v>
      </c>
      <c r="F14" s="33">
        <v>0.2</v>
      </c>
      <c r="G14" s="60"/>
      <c r="H14" s="39" t="s">
        <v>41</v>
      </c>
      <c r="I14" s="40">
        <f>1/5</f>
        <v>0.2</v>
      </c>
      <c r="J14" s="60"/>
      <c r="K14" s="45" t="s">
        <v>42</v>
      </c>
      <c r="L14" s="46">
        <v>0.2</v>
      </c>
      <c r="M14" s="60"/>
      <c r="N14" s="51" t="s">
        <v>43</v>
      </c>
      <c r="O14" s="52">
        <f t="shared" ref="O14:O16" si="2">1/4</f>
        <v>0.25</v>
      </c>
      <c r="P14" s="60"/>
      <c r="Q14" s="56" t="s">
        <v>44</v>
      </c>
      <c r="R14" s="57">
        <f>1/5</f>
        <v>0.2</v>
      </c>
    </row>
    <row r="15" spans="2:19">
      <c r="B15" s="25" t="s">
        <v>45</v>
      </c>
      <c r="C15" s="26">
        <v>0.25</v>
      </c>
      <c r="D15" s="60"/>
      <c r="E15" s="32" t="s">
        <v>46</v>
      </c>
      <c r="F15" s="33">
        <v>0.2</v>
      </c>
      <c r="G15" s="60"/>
      <c r="H15" s="39" t="s">
        <v>47</v>
      </c>
      <c r="I15" s="40">
        <f t="shared" ref="I15:I17" si="3">1/5</f>
        <v>0.2</v>
      </c>
      <c r="J15" s="60"/>
      <c r="K15" s="45" t="s">
        <v>48</v>
      </c>
      <c r="L15" s="46">
        <v>0.2</v>
      </c>
      <c r="M15" s="60"/>
      <c r="N15" s="51" t="s">
        <v>49</v>
      </c>
      <c r="O15" s="52">
        <f t="shared" si="2"/>
        <v>0.25</v>
      </c>
      <c r="P15" s="60"/>
      <c r="Q15" s="56" t="s">
        <v>50</v>
      </c>
      <c r="R15" s="57">
        <v>0.2</v>
      </c>
    </row>
    <row r="16" spans="2:19">
      <c r="B16" s="25" t="s">
        <v>51</v>
      </c>
      <c r="C16" s="27">
        <v>0.25</v>
      </c>
      <c r="D16" s="60"/>
      <c r="E16" s="32" t="s">
        <v>52</v>
      </c>
      <c r="F16" s="33">
        <v>0.2</v>
      </c>
      <c r="G16" s="60"/>
      <c r="H16" s="39" t="s">
        <v>53</v>
      </c>
      <c r="I16" s="40">
        <f t="shared" si="3"/>
        <v>0.2</v>
      </c>
      <c r="J16" s="60"/>
      <c r="K16" s="45" t="s">
        <v>54</v>
      </c>
      <c r="L16" s="46">
        <v>0.2</v>
      </c>
      <c r="M16" s="60"/>
      <c r="N16" s="51" t="s">
        <v>55</v>
      </c>
      <c r="O16" s="53">
        <f t="shared" si="2"/>
        <v>0.25</v>
      </c>
      <c r="P16" s="60"/>
      <c r="Q16" s="56" t="s">
        <v>56</v>
      </c>
      <c r="R16" s="57">
        <v>0.2</v>
      </c>
    </row>
    <row r="17" spans="2:19" ht="15.75" thickBot="1">
      <c r="B17" s="28" t="s">
        <v>57</v>
      </c>
      <c r="C17" s="29">
        <f>SUM(C13:C16)</f>
        <v>1</v>
      </c>
      <c r="D17" s="60"/>
      <c r="E17" s="34" t="s">
        <v>58</v>
      </c>
      <c r="F17" s="33">
        <v>0.2</v>
      </c>
      <c r="G17" s="60"/>
      <c r="H17" s="39" t="s">
        <v>59</v>
      </c>
      <c r="I17" s="40">
        <f t="shared" si="3"/>
        <v>0.2</v>
      </c>
      <c r="J17" s="60"/>
      <c r="K17" s="45" t="s">
        <v>60</v>
      </c>
      <c r="L17" s="46">
        <v>0.2</v>
      </c>
      <c r="M17" s="60"/>
      <c r="N17" s="149" t="s">
        <v>61</v>
      </c>
      <c r="O17" s="22">
        <f>SUM(O13:O16)</f>
        <v>1</v>
      </c>
      <c r="P17" s="60"/>
      <c r="Q17" s="56" t="s">
        <v>62</v>
      </c>
      <c r="R17" s="57">
        <f t="shared" ref="R17" si="4">1/5</f>
        <v>0.2</v>
      </c>
    </row>
    <row r="18" spans="2:19" ht="15.75" thickBot="1">
      <c r="B18" s="60"/>
      <c r="C18" s="60"/>
      <c r="D18" s="60"/>
      <c r="E18" s="35" t="s">
        <v>63</v>
      </c>
      <c r="F18" s="36">
        <f>SUM(F13:F17)</f>
        <v>1</v>
      </c>
      <c r="G18" s="60"/>
      <c r="H18" s="41" t="s">
        <v>64</v>
      </c>
      <c r="I18" s="42">
        <f>SUM(I13:I17)</f>
        <v>1</v>
      </c>
      <c r="J18" s="60"/>
      <c r="K18" s="47" t="s">
        <v>65</v>
      </c>
      <c r="L18" s="48">
        <f>SUM(L13:L17)</f>
        <v>1</v>
      </c>
      <c r="M18" s="60"/>
      <c r="N18" s="60"/>
      <c r="O18" s="60"/>
      <c r="P18" s="60"/>
      <c r="Q18" s="58" t="s">
        <v>66</v>
      </c>
      <c r="R18" s="59">
        <f>SUM(R13:R17)</f>
        <v>1</v>
      </c>
    </row>
    <row r="19" spans="2:19">
      <c r="B19" s="7"/>
      <c r="C19" s="7"/>
      <c r="D19" s="7"/>
      <c r="E19" s="7"/>
      <c r="F19" s="7"/>
      <c r="H19" s="7"/>
      <c r="I19" s="7"/>
      <c r="K19" s="7"/>
      <c r="L19" s="7"/>
      <c r="N19" s="7"/>
      <c r="O19" s="7"/>
      <c r="Q19" s="7"/>
      <c r="R19" s="7"/>
      <c r="S19" s="7"/>
    </row>
    <row r="20" spans="2:19" s="7" customFormat="1"/>
  </sheetData>
  <mergeCells count="6">
    <mergeCell ref="Q11:R11"/>
    <mergeCell ref="B11:C11"/>
    <mergeCell ref="E11:F11"/>
    <mergeCell ref="H11:I11"/>
    <mergeCell ref="K11:L11"/>
    <mergeCell ref="N11:O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30F93-B40F-427A-8267-793DCFA9A630}">
  <dimension ref="A1:S32"/>
  <sheetViews>
    <sheetView showGridLines="0" zoomScaleNormal="100" workbookViewId="0">
      <selection activeCell="L16" sqref="L16"/>
    </sheetView>
  </sheetViews>
  <sheetFormatPr defaultRowHeight="15"/>
  <cols>
    <col min="1" max="1" width="1.42578125" style="7" customWidth="1"/>
    <col min="2" max="2" width="11.85546875" customWidth="1"/>
    <col min="3" max="3" width="24.85546875" bestFit="1" customWidth="1"/>
    <col min="4" max="4" width="1.28515625" style="7" customWidth="1"/>
    <col min="5" max="5" width="11.85546875" customWidth="1"/>
    <col min="6" max="6" width="32.42578125" bestFit="1" customWidth="1"/>
    <col min="7" max="7" width="1.42578125" style="7" customWidth="1"/>
    <col min="8" max="8" width="12.42578125" customWidth="1"/>
    <col min="9" max="9" width="30.5703125" customWidth="1"/>
    <col min="10" max="10" width="1.7109375" style="7" customWidth="1"/>
    <col min="11" max="11" width="10.7109375" bestFit="1" customWidth="1"/>
    <col min="12" max="12" width="21.7109375" bestFit="1" customWidth="1"/>
    <col min="13" max="13" width="1.7109375" style="7" customWidth="1"/>
    <col min="14" max="14" width="10.7109375" bestFit="1" customWidth="1"/>
    <col min="15" max="15" width="35.42578125" bestFit="1" customWidth="1"/>
    <col min="16" max="16" width="1.7109375" style="7" customWidth="1"/>
    <col min="17" max="17" width="10.7109375" bestFit="1" customWidth="1"/>
    <col min="18" max="18" width="21.7109375" bestFit="1" customWidth="1"/>
    <col min="19" max="19" width="9.140625" style="7"/>
  </cols>
  <sheetData>
    <row r="1" spans="2:18" s="7" customFormat="1" ht="15.75" thickBot="1"/>
    <row r="2" spans="2:18" ht="15.75" thickBot="1">
      <c r="B2" s="380" t="s">
        <v>67</v>
      </c>
      <c r="C2" s="381"/>
      <c r="E2" s="380" t="s">
        <v>68</v>
      </c>
      <c r="F2" s="381"/>
      <c r="H2" s="380" t="s">
        <v>69</v>
      </c>
      <c r="I2" s="381"/>
      <c r="K2" s="380" t="s">
        <v>17</v>
      </c>
      <c r="L2" s="381"/>
      <c r="N2" s="380" t="s">
        <v>18</v>
      </c>
      <c r="O2" s="381"/>
      <c r="Q2" s="380" t="s">
        <v>20</v>
      </c>
      <c r="R2" s="381"/>
    </row>
    <row r="3" spans="2:18">
      <c r="B3" s="193" t="s">
        <v>70</v>
      </c>
      <c r="C3" s="194" t="s">
        <v>71</v>
      </c>
      <c r="E3" s="193" t="s">
        <v>70</v>
      </c>
      <c r="F3" s="195" t="s">
        <v>71</v>
      </c>
      <c r="H3" s="193" t="s">
        <v>70</v>
      </c>
      <c r="I3" s="195" t="s">
        <v>71</v>
      </c>
      <c r="K3" s="193" t="s">
        <v>70</v>
      </c>
      <c r="L3" s="203" t="s">
        <v>71</v>
      </c>
      <c r="N3" s="193" t="s">
        <v>70</v>
      </c>
      <c r="O3" s="203" t="s">
        <v>71</v>
      </c>
      <c r="Q3" s="193" t="s">
        <v>70</v>
      </c>
      <c r="R3" s="203" t="s">
        <v>71</v>
      </c>
    </row>
    <row r="4" spans="2:18">
      <c r="B4" s="176" t="s">
        <v>2</v>
      </c>
      <c r="C4" s="179" t="s">
        <v>72</v>
      </c>
      <c r="E4" s="176" t="s">
        <v>2</v>
      </c>
      <c r="F4" s="179" t="s">
        <v>72</v>
      </c>
      <c r="H4" s="199" t="s">
        <v>2</v>
      </c>
      <c r="I4" s="179" t="s">
        <v>72</v>
      </c>
      <c r="K4" s="199" t="s">
        <v>2</v>
      </c>
      <c r="L4" s="179" t="s">
        <v>73</v>
      </c>
      <c r="N4" s="176" t="s">
        <v>2</v>
      </c>
      <c r="O4" s="179" t="s">
        <v>74</v>
      </c>
      <c r="Q4" s="199" t="s">
        <v>2</v>
      </c>
      <c r="R4" s="179" t="s">
        <v>33</v>
      </c>
    </row>
    <row r="5" spans="2:18">
      <c r="B5" s="177" t="s">
        <v>3</v>
      </c>
      <c r="C5" s="180" t="s">
        <v>75</v>
      </c>
      <c r="E5" s="177" t="s">
        <v>3</v>
      </c>
      <c r="F5" s="180" t="s">
        <v>76</v>
      </c>
      <c r="H5" s="200" t="s">
        <v>3</v>
      </c>
      <c r="I5" s="197" t="s">
        <v>76</v>
      </c>
      <c r="K5" s="200" t="s">
        <v>3</v>
      </c>
      <c r="L5" s="197" t="s">
        <v>77</v>
      </c>
      <c r="N5" s="177" t="s">
        <v>3</v>
      </c>
      <c r="O5" s="180" t="s">
        <v>34</v>
      </c>
      <c r="Q5" s="200" t="s">
        <v>3</v>
      </c>
      <c r="R5" s="197" t="s">
        <v>78</v>
      </c>
    </row>
    <row r="6" spans="2:18">
      <c r="B6" s="177" t="s">
        <v>4</v>
      </c>
      <c r="C6" s="181" t="s">
        <v>79</v>
      </c>
      <c r="E6" s="177" t="s">
        <v>4</v>
      </c>
      <c r="F6" s="181" t="s">
        <v>80</v>
      </c>
      <c r="H6" s="200" t="s">
        <v>4</v>
      </c>
      <c r="I6" s="198" t="s">
        <v>80</v>
      </c>
      <c r="K6" s="200" t="s">
        <v>4</v>
      </c>
      <c r="L6" s="198" t="s">
        <v>81</v>
      </c>
      <c r="N6" s="178" t="s">
        <v>7</v>
      </c>
      <c r="O6" s="182" t="s">
        <v>38</v>
      </c>
      <c r="Q6" s="200" t="s">
        <v>4</v>
      </c>
      <c r="R6" s="198" t="s">
        <v>82</v>
      </c>
    </row>
    <row r="7" spans="2:18">
      <c r="B7" s="178" t="s">
        <v>7</v>
      </c>
      <c r="C7" s="182" t="s">
        <v>38</v>
      </c>
      <c r="E7" s="178" t="s">
        <v>7</v>
      </c>
      <c r="F7" s="187" t="s">
        <v>83</v>
      </c>
      <c r="H7" s="177" t="s">
        <v>6</v>
      </c>
      <c r="I7" s="198" t="s">
        <v>84</v>
      </c>
      <c r="K7" s="177" t="s">
        <v>5</v>
      </c>
      <c r="L7" s="198" t="s">
        <v>85</v>
      </c>
      <c r="N7" s="7"/>
      <c r="O7" s="7"/>
      <c r="Q7" s="177" t="s">
        <v>5</v>
      </c>
      <c r="R7" s="198" t="s">
        <v>86</v>
      </c>
    </row>
    <row r="8" spans="2:18">
      <c r="B8" s="304"/>
      <c r="C8" s="305"/>
      <c r="E8" s="7"/>
      <c r="F8" s="7"/>
      <c r="H8" s="201" t="s">
        <v>7</v>
      </c>
      <c r="I8" s="187" t="s">
        <v>83</v>
      </c>
      <c r="K8" s="177" t="s">
        <v>6</v>
      </c>
      <c r="L8" s="198" t="s">
        <v>87</v>
      </c>
      <c r="N8" s="7"/>
      <c r="O8" s="7"/>
      <c r="Q8" s="201" t="s">
        <v>6</v>
      </c>
      <c r="R8" s="187" t="s">
        <v>87</v>
      </c>
    </row>
    <row r="9" spans="2:18" s="7" customFormat="1" ht="15.75" thickBot="1"/>
    <row r="10" spans="2:18">
      <c r="B10" s="380" t="s">
        <v>88</v>
      </c>
      <c r="C10" s="381"/>
      <c r="E10" s="378" t="s">
        <v>89</v>
      </c>
      <c r="F10" s="379"/>
      <c r="H10" s="378" t="s">
        <v>90</v>
      </c>
      <c r="I10" s="379"/>
      <c r="K10" s="378" t="s">
        <v>91</v>
      </c>
      <c r="L10" s="379"/>
      <c r="N10" s="378" t="s">
        <v>92</v>
      </c>
      <c r="O10" s="379"/>
      <c r="Q10" s="378" t="s">
        <v>93</v>
      </c>
      <c r="R10" s="379"/>
    </row>
    <row r="11" spans="2:18">
      <c r="B11" s="173" t="s">
        <v>94</v>
      </c>
      <c r="C11" s="196" t="s">
        <v>95</v>
      </c>
      <c r="E11" s="173" t="s">
        <v>94</v>
      </c>
      <c r="F11" s="196" t="s">
        <v>95</v>
      </c>
      <c r="H11" s="173" t="s">
        <v>94</v>
      </c>
      <c r="I11" s="183" t="s">
        <v>95</v>
      </c>
      <c r="K11" s="173" t="s">
        <v>94</v>
      </c>
      <c r="L11" s="183" t="s">
        <v>95</v>
      </c>
      <c r="N11" s="332" t="s">
        <v>94</v>
      </c>
      <c r="O11" s="333" t="s">
        <v>95</v>
      </c>
      <c r="Q11" s="332" t="s">
        <v>94</v>
      </c>
      <c r="R11" s="333" t="s">
        <v>95</v>
      </c>
    </row>
    <row r="12" spans="2:18">
      <c r="B12" s="184" t="s">
        <v>96</v>
      </c>
      <c r="C12" s="185" t="s">
        <v>97</v>
      </c>
      <c r="E12" s="6" t="s">
        <v>98</v>
      </c>
      <c r="F12" s="191" t="s">
        <v>99</v>
      </c>
      <c r="H12" s="4" t="s">
        <v>100</v>
      </c>
      <c r="I12" s="2" t="s">
        <v>101</v>
      </c>
      <c r="K12" s="175" t="s">
        <v>102</v>
      </c>
      <c r="L12" s="202" t="s">
        <v>103</v>
      </c>
      <c r="N12" s="504" t="s">
        <v>104</v>
      </c>
      <c r="O12" s="334" t="s">
        <v>105</v>
      </c>
      <c r="Q12" s="504" t="s">
        <v>106</v>
      </c>
      <c r="R12" s="501" t="s">
        <v>107</v>
      </c>
    </row>
    <row r="13" spans="2:18">
      <c r="B13" s="177" t="s">
        <v>108</v>
      </c>
      <c r="C13" s="180" t="s">
        <v>109</v>
      </c>
      <c r="E13" s="1" t="s">
        <v>110</v>
      </c>
      <c r="F13" s="192" t="s">
        <v>111</v>
      </c>
      <c r="H13" s="1" t="s">
        <v>112</v>
      </c>
      <c r="I13" s="3" t="s">
        <v>113</v>
      </c>
      <c r="N13" s="505" t="s">
        <v>114</v>
      </c>
      <c r="O13" s="335" t="s">
        <v>115</v>
      </c>
      <c r="Q13" s="507" t="s">
        <v>116</v>
      </c>
      <c r="R13" s="502" t="s">
        <v>117</v>
      </c>
    </row>
    <row r="14" spans="2:18">
      <c r="B14" s="177" t="s">
        <v>118</v>
      </c>
      <c r="C14" s="180" t="s">
        <v>119</v>
      </c>
      <c r="E14" s="1" t="s">
        <v>120</v>
      </c>
      <c r="F14" s="192" t="s">
        <v>121</v>
      </c>
      <c r="H14" s="1" t="s">
        <v>122</v>
      </c>
      <c r="I14" s="3" t="s">
        <v>111</v>
      </c>
      <c r="N14" s="506" t="s">
        <v>123</v>
      </c>
      <c r="O14" s="336" t="s">
        <v>124</v>
      </c>
      <c r="Q14" s="505" t="s">
        <v>125</v>
      </c>
      <c r="R14" s="503" t="s">
        <v>126</v>
      </c>
    </row>
    <row r="15" spans="2:18">
      <c r="B15" s="178" t="s">
        <v>127</v>
      </c>
      <c r="C15" s="186" t="s">
        <v>128</v>
      </c>
      <c r="E15" s="1" t="s">
        <v>129</v>
      </c>
      <c r="F15" s="192" t="s">
        <v>130</v>
      </c>
      <c r="H15" s="1" t="s">
        <v>131</v>
      </c>
      <c r="I15" s="3" t="s">
        <v>132</v>
      </c>
      <c r="Q15" s="505" t="s">
        <v>133</v>
      </c>
      <c r="R15" s="503" t="s">
        <v>134</v>
      </c>
    </row>
    <row r="16" spans="2:18">
      <c r="B16" s="7"/>
      <c r="C16" s="7"/>
      <c r="E16" s="1" t="s">
        <v>135</v>
      </c>
      <c r="F16" s="192" t="s">
        <v>136</v>
      </c>
      <c r="H16" s="1" t="s">
        <v>137</v>
      </c>
      <c r="I16" s="3" t="s">
        <v>138</v>
      </c>
      <c r="Q16" s="505" t="s">
        <v>139</v>
      </c>
      <c r="R16" s="503" t="s">
        <v>140</v>
      </c>
    </row>
    <row r="17" spans="2:18">
      <c r="B17" s="7"/>
      <c r="C17" s="7"/>
      <c r="E17" s="1" t="s">
        <v>141</v>
      </c>
      <c r="F17" s="188" t="s">
        <v>142</v>
      </c>
      <c r="H17" s="1" t="s">
        <v>143</v>
      </c>
      <c r="I17" s="189" t="s">
        <v>144</v>
      </c>
      <c r="Q17" s="505" t="s">
        <v>145</v>
      </c>
      <c r="R17" s="503" t="s">
        <v>146</v>
      </c>
    </row>
    <row r="18" spans="2:18">
      <c r="B18" s="7"/>
      <c r="C18" s="7"/>
      <c r="E18" s="1" t="s">
        <v>147</v>
      </c>
      <c r="F18" s="188" t="s">
        <v>148</v>
      </c>
      <c r="H18" s="1" t="s">
        <v>149</v>
      </c>
      <c r="I18" s="189" t="s">
        <v>150</v>
      </c>
      <c r="Q18" s="505" t="s">
        <v>151</v>
      </c>
      <c r="R18" s="503" t="s">
        <v>152</v>
      </c>
    </row>
    <row r="19" spans="2:18">
      <c r="B19" s="7"/>
      <c r="C19" s="7"/>
      <c r="E19" s="1" t="s">
        <v>153</v>
      </c>
      <c r="F19" s="188" t="s">
        <v>154</v>
      </c>
      <c r="H19" s="1" t="s">
        <v>155</v>
      </c>
      <c r="I19" s="189" t="s">
        <v>156</v>
      </c>
      <c r="Q19" s="505" t="s">
        <v>157</v>
      </c>
      <c r="R19" s="503" t="s">
        <v>158</v>
      </c>
    </row>
    <row r="20" spans="2:18">
      <c r="B20" s="7"/>
      <c r="C20" s="7"/>
      <c r="E20" s="1" t="s">
        <v>159</v>
      </c>
      <c r="F20" s="188" t="s">
        <v>160</v>
      </c>
      <c r="H20" s="1" t="s">
        <v>161</v>
      </c>
      <c r="I20" s="189" t="s">
        <v>162</v>
      </c>
      <c r="Q20" s="508" t="s">
        <v>163</v>
      </c>
      <c r="R20" s="337" t="s">
        <v>164</v>
      </c>
    </row>
    <row r="21" spans="2:18">
      <c r="B21" s="7"/>
      <c r="C21" s="7"/>
      <c r="E21" s="1" t="s">
        <v>165</v>
      </c>
      <c r="F21" s="188" t="s">
        <v>166</v>
      </c>
      <c r="H21" s="1" t="s">
        <v>167</v>
      </c>
      <c r="I21" s="189" t="s">
        <v>168</v>
      </c>
    </row>
    <row r="22" spans="2:18" ht="15.75" thickBot="1">
      <c r="B22" s="7"/>
      <c r="C22" s="7"/>
      <c r="E22" s="5" t="s">
        <v>169</v>
      </c>
      <c r="F22" s="190" t="s">
        <v>170</v>
      </c>
      <c r="H22" s="1" t="s">
        <v>171</v>
      </c>
      <c r="I22" s="189" t="s">
        <v>172</v>
      </c>
    </row>
    <row r="23" spans="2:18">
      <c r="B23" s="7"/>
      <c r="C23" s="7"/>
      <c r="E23" s="7"/>
      <c r="F23" s="7"/>
      <c r="H23" s="1" t="s">
        <v>173</v>
      </c>
      <c r="I23" s="189" t="s">
        <v>166</v>
      </c>
    </row>
    <row r="24" spans="2:18" ht="15.75" thickBot="1">
      <c r="B24" s="7"/>
      <c r="C24" s="7"/>
      <c r="E24" s="7"/>
      <c r="F24" s="7"/>
      <c r="H24" s="175" t="s">
        <v>174</v>
      </c>
      <c r="I24" s="202" t="s">
        <v>170</v>
      </c>
    </row>
    <row r="25" spans="2:18">
      <c r="B25" s="7"/>
      <c r="C25" s="7"/>
      <c r="E25" s="7"/>
      <c r="F25" s="7"/>
      <c r="H25" s="7"/>
      <c r="I25" s="7"/>
      <c r="K25" s="7"/>
      <c r="L25" s="7"/>
      <c r="N25" s="7"/>
      <c r="O25" s="7"/>
      <c r="Q25" s="7"/>
      <c r="R25" s="7"/>
    </row>
    <row r="26" spans="2:18">
      <c r="B26" s="7"/>
      <c r="C26" s="7"/>
      <c r="E26" s="7"/>
      <c r="F26" s="7"/>
      <c r="H26" s="7"/>
      <c r="I26" s="7"/>
      <c r="K26" s="7"/>
      <c r="L26" s="7"/>
      <c r="N26" s="7"/>
      <c r="O26" s="7"/>
      <c r="Q26" s="7"/>
      <c r="R26" s="7"/>
    </row>
    <row r="27" spans="2:18">
      <c r="B27" s="7"/>
      <c r="C27" s="7"/>
      <c r="E27" s="7"/>
      <c r="F27" s="7"/>
      <c r="H27" s="7"/>
      <c r="I27" s="7"/>
      <c r="K27" s="7"/>
      <c r="L27" s="7"/>
      <c r="N27" s="7"/>
      <c r="O27" s="7"/>
      <c r="Q27" s="7"/>
      <c r="R27" s="7"/>
    </row>
    <row r="28" spans="2:18">
      <c r="B28" s="7"/>
      <c r="C28" s="7"/>
      <c r="E28" s="7"/>
      <c r="F28" s="7"/>
      <c r="H28" s="7"/>
      <c r="I28" s="7"/>
      <c r="K28" s="7"/>
      <c r="L28" s="7"/>
      <c r="N28" s="7"/>
      <c r="O28" s="7"/>
      <c r="Q28" s="7"/>
      <c r="R28" s="7"/>
    </row>
    <row r="29" spans="2:18">
      <c r="B29" s="7"/>
      <c r="C29" s="7"/>
      <c r="E29" s="7"/>
      <c r="F29" s="7"/>
      <c r="H29" s="7"/>
      <c r="I29" s="7"/>
      <c r="K29" s="7"/>
      <c r="L29" s="7"/>
      <c r="N29" s="7"/>
      <c r="O29" s="7"/>
      <c r="Q29" s="7"/>
      <c r="R29" s="7"/>
    </row>
    <row r="30" spans="2:18">
      <c r="B30" s="7"/>
      <c r="C30" s="7"/>
      <c r="E30" s="7"/>
      <c r="F30" s="7"/>
      <c r="H30" s="7"/>
      <c r="I30" s="7"/>
      <c r="K30" s="7"/>
      <c r="L30" s="7"/>
      <c r="N30" s="7"/>
      <c r="O30" s="7"/>
      <c r="Q30" s="7"/>
      <c r="R30" s="7"/>
    </row>
    <row r="31" spans="2:18">
      <c r="E31" s="7"/>
      <c r="F31" s="7"/>
      <c r="H31" s="7"/>
      <c r="I31" s="7"/>
      <c r="K31" s="7"/>
      <c r="L31" s="7"/>
      <c r="N31" s="7"/>
      <c r="O31" s="7"/>
      <c r="Q31" s="7"/>
      <c r="R31" s="7"/>
    </row>
    <row r="32" spans="2:18">
      <c r="H32" s="7"/>
      <c r="I32" s="7"/>
      <c r="K32" s="7"/>
      <c r="L32" s="7"/>
      <c r="N32" s="7"/>
      <c r="O32" s="7"/>
      <c r="Q32" s="7"/>
      <c r="R32" s="7"/>
    </row>
  </sheetData>
  <mergeCells count="12">
    <mergeCell ref="N2:O2"/>
    <mergeCell ref="Q2:R2"/>
    <mergeCell ref="K10:L10"/>
    <mergeCell ref="N10:O10"/>
    <mergeCell ref="Q10:R10"/>
    <mergeCell ref="H10:I10"/>
    <mergeCell ref="K2:L2"/>
    <mergeCell ref="H2:I2"/>
    <mergeCell ref="B2:C2"/>
    <mergeCell ref="B10:C10"/>
    <mergeCell ref="E2:F2"/>
    <mergeCell ref="E10:F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E337-E237-45D8-9B60-433FAF29B03F}">
  <sheetPr>
    <pageSetUpPr fitToPage="1"/>
  </sheetPr>
  <dimension ref="A1:AC56"/>
  <sheetViews>
    <sheetView zoomScaleNormal="100" workbookViewId="0">
      <selection activeCell="J58" sqref="J58"/>
    </sheetView>
  </sheetViews>
  <sheetFormatPr defaultColWidth="11.42578125" defaultRowHeight="15"/>
  <cols>
    <col min="1" max="1" width="2.42578125" style="7" customWidth="1"/>
    <col min="2" max="2" width="15.5703125" customWidth="1"/>
    <col min="3" max="3" width="18.28515625" customWidth="1"/>
    <col min="4" max="4" width="13.140625" bestFit="1" customWidth="1"/>
    <col min="5" max="12" width="7.7109375" customWidth="1"/>
    <col min="13" max="13" width="8.5703125" customWidth="1"/>
    <col min="14" max="17" width="7.7109375" customWidth="1"/>
    <col min="18" max="18" width="8.42578125" customWidth="1"/>
    <col min="19" max="19" width="7.7109375" customWidth="1"/>
    <col min="20" max="20" width="8.42578125" bestFit="1" customWidth="1"/>
    <col min="21" max="22" width="7.7109375" customWidth="1"/>
    <col min="23" max="23" width="8.85546875" customWidth="1"/>
    <col min="24" max="24" width="9.5703125" customWidth="1"/>
    <col min="25" max="26" width="7.7109375" customWidth="1"/>
    <col min="27" max="27" width="10.42578125" customWidth="1"/>
  </cols>
  <sheetData>
    <row r="1" spans="2:29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2:29" ht="15.75" customHeight="1">
      <c r="B2" s="344" t="s">
        <v>24</v>
      </c>
      <c r="C2" s="382"/>
      <c r="D2" s="345"/>
      <c r="E2" s="344" t="s">
        <v>175</v>
      </c>
      <c r="F2" s="382"/>
      <c r="G2" s="345"/>
      <c r="H2" s="344" t="s">
        <v>176</v>
      </c>
      <c r="I2" s="382"/>
      <c r="J2" s="382"/>
      <c r="K2" s="382"/>
      <c r="L2" s="382"/>
      <c r="M2" s="382"/>
      <c r="N2" s="345"/>
      <c r="O2" s="344" t="s">
        <v>177</v>
      </c>
      <c r="P2" s="382"/>
      <c r="Q2" s="382"/>
      <c r="R2" s="382"/>
      <c r="S2" s="382"/>
      <c r="T2" s="382"/>
      <c r="U2" s="382"/>
      <c r="V2" s="382"/>
      <c r="W2" s="393" t="s">
        <v>178</v>
      </c>
      <c r="X2" s="415" t="s">
        <v>179</v>
      </c>
      <c r="Y2" s="406" t="s">
        <v>180</v>
      </c>
      <c r="Z2" s="407"/>
      <c r="AA2" s="408"/>
      <c r="AB2" s="388"/>
      <c r="AC2" s="388"/>
    </row>
    <row r="3" spans="2:29" ht="29.25">
      <c r="B3" s="72" t="s">
        <v>181</v>
      </c>
      <c r="C3" s="73" t="s">
        <v>31</v>
      </c>
      <c r="D3" s="74" t="s">
        <v>182</v>
      </c>
      <c r="E3" s="248" t="s">
        <v>96</v>
      </c>
      <c r="F3" s="249" t="s">
        <v>183</v>
      </c>
      <c r="G3" s="260" t="s">
        <v>108</v>
      </c>
      <c r="H3" s="75" t="s">
        <v>98</v>
      </c>
      <c r="I3" s="76" t="s">
        <v>110</v>
      </c>
      <c r="J3" s="272" t="s">
        <v>120</v>
      </c>
      <c r="K3" s="272" t="s">
        <v>129</v>
      </c>
      <c r="L3" s="76" t="s">
        <v>147</v>
      </c>
      <c r="M3" s="272" t="s">
        <v>159</v>
      </c>
      <c r="N3" s="77" t="s">
        <v>169</v>
      </c>
      <c r="O3" s="75" t="s">
        <v>100</v>
      </c>
      <c r="P3" s="272" t="s">
        <v>112</v>
      </c>
      <c r="Q3" s="274" t="s">
        <v>122</v>
      </c>
      <c r="R3" s="274" t="s">
        <v>184</v>
      </c>
      <c r="S3" s="76" t="s">
        <v>185</v>
      </c>
      <c r="T3" s="76" t="s">
        <v>186</v>
      </c>
      <c r="U3" s="275" t="s">
        <v>187</v>
      </c>
      <c r="V3" s="401" t="s">
        <v>174</v>
      </c>
      <c r="W3" s="394" t="s">
        <v>102</v>
      </c>
      <c r="X3" s="391" t="s">
        <v>104</v>
      </c>
      <c r="Y3" s="409" t="s">
        <v>145</v>
      </c>
      <c r="Z3" s="76" t="s">
        <v>151</v>
      </c>
      <c r="AA3" s="395" t="s">
        <v>157</v>
      </c>
      <c r="AB3" s="389"/>
      <c r="AC3" s="389"/>
    </row>
    <row r="4" spans="2:29">
      <c r="B4" s="68" t="s">
        <v>33</v>
      </c>
      <c r="C4" s="78">
        <f>1/4</f>
        <v>0.25</v>
      </c>
      <c r="D4" s="79" t="s">
        <v>188</v>
      </c>
      <c r="E4" s="250" t="s">
        <v>13</v>
      </c>
      <c r="F4" s="251"/>
      <c r="G4" s="261" t="s">
        <v>13</v>
      </c>
      <c r="H4" s="174" t="s">
        <v>13</v>
      </c>
      <c r="I4" s="80"/>
      <c r="J4" s="271"/>
      <c r="K4" s="271"/>
      <c r="L4" s="80"/>
      <c r="M4" s="271"/>
      <c r="N4" s="81" t="s">
        <v>13</v>
      </c>
      <c r="O4" s="276" t="s">
        <v>13</v>
      </c>
      <c r="P4" s="277" t="s">
        <v>13</v>
      </c>
      <c r="Q4" s="278" t="s">
        <v>13</v>
      </c>
      <c r="R4" s="278"/>
      <c r="S4" s="279"/>
      <c r="T4" s="279"/>
      <c r="U4" s="102"/>
      <c r="V4" s="402" t="s">
        <v>13</v>
      </c>
      <c r="W4" s="396"/>
      <c r="X4" s="416" t="s">
        <v>13</v>
      </c>
      <c r="Y4" s="410"/>
      <c r="Z4" s="273"/>
      <c r="AA4" s="411"/>
      <c r="AB4" s="390"/>
      <c r="AC4" s="390"/>
    </row>
    <row r="5" spans="2:29">
      <c r="B5" s="25" t="s">
        <v>39</v>
      </c>
      <c r="C5" s="82">
        <f t="shared" ref="C5" si="0">1/4</f>
        <v>0.25</v>
      </c>
      <c r="D5" s="79" t="s">
        <v>188</v>
      </c>
      <c r="E5" s="252" t="s">
        <v>13</v>
      </c>
      <c r="F5" s="253"/>
      <c r="G5" s="262" t="s">
        <v>13</v>
      </c>
      <c r="H5" s="83" t="s">
        <v>13</v>
      </c>
      <c r="I5" s="84"/>
      <c r="J5" s="257"/>
      <c r="K5" s="257"/>
      <c r="L5" s="84"/>
      <c r="M5" s="257" t="s">
        <v>13</v>
      </c>
      <c r="N5" s="121" t="s">
        <v>13</v>
      </c>
      <c r="O5" s="83"/>
      <c r="P5" s="257" t="s">
        <v>13</v>
      </c>
      <c r="Q5" s="253"/>
      <c r="R5" s="253"/>
      <c r="S5" s="265"/>
      <c r="T5" s="265"/>
      <c r="U5" s="107" t="s">
        <v>13</v>
      </c>
      <c r="V5" s="403" t="s">
        <v>13</v>
      </c>
      <c r="W5" s="397"/>
      <c r="X5" s="416" t="s">
        <v>13</v>
      </c>
      <c r="Y5" s="412"/>
      <c r="Z5" s="265"/>
      <c r="AA5" s="399"/>
      <c r="AB5" s="390"/>
      <c r="AC5" s="390"/>
    </row>
    <row r="6" spans="2:29">
      <c r="B6" s="25" t="s">
        <v>45</v>
      </c>
      <c r="C6" s="82">
        <v>0.25</v>
      </c>
      <c r="D6" s="79" t="s">
        <v>188</v>
      </c>
      <c r="E6" s="254"/>
      <c r="F6" s="253" t="s">
        <v>13</v>
      </c>
      <c r="G6" s="262" t="s">
        <v>13</v>
      </c>
      <c r="H6" s="85"/>
      <c r="I6" s="265" t="s">
        <v>13</v>
      </c>
      <c r="J6" s="266"/>
      <c r="K6" s="257"/>
      <c r="L6" s="265"/>
      <c r="M6" s="257" t="s">
        <v>13</v>
      </c>
      <c r="N6" s="267" t="s">
        <v>13</v>
      </c>
      <c r="O6" s="85"/>
      <c r="P6" s="258"/>
      <c r="Q6" s="253"/>
      <c r="R6" s="253"/>
      <c r="S6" s="265"/>
      <c r="T6" s="265"/>
      <c r="U6" s="259"/>
      <c r="V6" s="404" t="s">
        <v>13</v>
      </c>
      <c r="W6" s="398" t="s">
        <v>13</v>
      </c>
      <c r="X6" s="392"/>
      <c r="Y6" s="412"/>
      <c r="Z6" s="265"/>
      <c r="AA6" s="399"/>
      <c r="AB6" s="390"/>
      <c r="AC6" s="390"/>
    </row>
    <row r="7" spans="2:29" ht="15.75" customHeight="1">
      <c r="B7" s="87" t="s">
        <v>51</v>
      </c>
      <c r="C7" s="88">
        <v>0.25</v>
      </c>
      <c r="D7" s="79" t="s">
        <v>188</v>
      </c>
      <c r="E7" s="255"/>
      <c r="F7" s="256" t="s">
        <v>13</v>
      </c>
      <c r="G7" s="263" t="s">
        <v>13</v>
      </c>
      <c r="H7" s="89"/>
      <c r="I7" s="268" t="s">
        <v>13</v>
      </c>
      <c r="J7" s="269" t="s">
        <v>13</v>
      </c>
      <c r="K7" s="256" t="s">
        <v>13</v>
      </c>
      <c r="L7" s="268" t="s">
        <v>13</v>
      </c>
      <c r="M7" s="256" t="s">
        <v>13</v>
      </c>
      <c r="N7" s="270" t="s">
        <v>13</v>
      </c>
      <c r="O7" s="89"/>
      <c r="P7" s="264"/>
      <c r="Q7" s="256"/>
      <c r="R7" s="256" t="s">
        <v>13</v>
      </c>
      <c r="S7" s="268" t="s">
        <v>13</v>
      </c>
      <c r="T7" s="268" t="s">
        <v>13</v>
      </c>
      <c r="U7" s="111" t="s">
        <v>13</v>
      </c>
      <c r="V7" s="405" t="s">
        <v>13</v>
      </c>
      <c r="W7" s="400" t="s">
        <v>13</v>
      </c>
      <c r="X7" s="417" t="s">
        <v>13</v>
      </c>
      <c r="Y7" s="413" t="s">
        <v>13</v>
      </c>
      <c r="Z7" s="341" t="s">
        <v>13</v>
      </c>
      <c r="AA7" s="414" t="s">
        <v>13</v>
      </c>
      <c r="AB7" s="390"/>
      <c r="AC7" s="390"/>
    </row>
    <row r="8" spans="2:29">
      <c r="B8" s="91" t="s">
        <v>57</v>
      </c>
      <c r="C8" s="92">
        <f>SUM(C4:C7)</f>
        <v>1</v>
      </c>
      <c r="D8" s="93" t="s">
        <v>189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7"/>
      <c r="AB8" s="7"/>
      <c r="AC8" s="7"/>
    </row>
    <row r="9" spans="2:29"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7"/>
      <c r="AB9" s="7"/>
      <c r="AC9" s="7"/>
    </row>
    <row r="10" spans="2:29" ht="15.75" customHeight="1">
      <c r="B10" s="346" t="s">
        <v>25</v>
      </c>
      <c r="C10" s="383"/>
      <c r="D10" s="347"/>
      <c r="E10" s="346" t="s">
        <v>190</v>
      </c>
      <c r="F10" s="383"/>
      <c r="G10" s="347"/>
      <c r="H10" s="346" t="s">
        <v>191</v>
      </c>
      <c r="I10" s="383"/>
      <c r="J10" s="383"/>
      <c r="K10" s="383"/>
      <c r="L10" s="383"/>
      <c r="M10" s="383"/>
      <c r="N10" s="383"/>
      <c r="O10" s="347"/>
      <c r="P10" s="346" t="s">
        <v>192</v>
      </c>
      <c r="Q10" s="383"/>
      <c r="R10" s="383"/>
      <c r="S10" s="383"/>
      <c r="T10" s="383"/>
      <c r="U10" s="383"/>
      <c r="V10" s="383"/>
      <c r="W10" s="383"/>
      <c r="X10" s="435" t="s">
        <v>193</v>
      </c>
      <c r="Y10" s="426" t="s">
        <v>194</v>
      </c>
      <c r="Z10" s="440"/>
      <c r="AA10" s="426" t="s">
        <v>195</v>
      </c>
      <c r="AB10" s="440"/>
      <c r="AC10" s="427"/>
    </row>
    <row r="11" spans="2:29" ht="29.25">
      <c r="B11" s="138" t="s">
        <v>181</v>
      </c>
      <c r="C11" s="138" t="s">
        <v>31</v>
      </c>
      <c r="D11" s="138" t="s">
        <v>182</v>
      </c>
      <c r="E11" s="307" t="s">
        <v>196</v>
      </c>
      <c r="F11" s="306" t="s">
        <v>108</v>
      </c>
      <c r="G11" s="308" t="s">
        <v>118</v>
      </c>
      <c r="H11" s="140" t="s">
        <v>120</v>
      </c>
      <c r="I11" s="285" t="s">
        <v>153</v>
      </c>
      <c r="J11" s="284" t="s">
        <v>129</v>
      </c>
      <c r="K11" s="141" t="s">
        <v>135</v>
      </c>
      <c r="L11" s="285" t="s">
        <v>147</v>
      </c>
      <c r="M11" s="284" t="s">
        <v>141</v>
      </c>
      <c r="N11" s="141" t="s">
        <v>159</v>
      </c>
      <c r="O11" s="139" t="s">
        <v>169</v>
      </c>
      <c r="P11" s="282" t="s">
        <v>131</v>
      </c>
      <c r="Q11" s="283" t="s">
        <v>137</v>
      </c>
      <c r="R11" s="283" t="s">
        <v>149</v>
      </c>
      <c r="S11" s="283" t="s">
        <v>155</v>
      </c>
      <c r="T11" s="141" t="s">
        <v>185</v>
      </c>
      <c r="U11" s="285" t="s">
        <v>167</v>
      </c>
      <c r="V11" s="284" t="s">
        <v>171</v>
      </c>
      <c r="W11" s="421" t="s">
        <v>174</v>
      </c>
      <c r="X11" s="436" t="s">
        <v>102</v>
      </c>
      <c r="Y11" s="428" t="s">
        <v>197</v>
      </c>
      <c r="Z11" s="446" t="s">
        <v>104</v>
      </c>
      <c r="AA11" s="441" t="s">
        <v>145</v>
      </c>
      <c r="AB11" s="340" t="s">
        <v>151</v>
      </c>
      <c r="AC11" s="442" t="s">
        <v>157</v>
      </c>
    </row>
    <row r="12" spans="2:29">
      <c r="B12" s="137" t="s">
        <v>34</v>
      </c>
      <c r="C12" s="147">
        <f>1/5</f>
        <v>0.2</v>
      </c>
      <c r="D12" s="101" t="s">
        <v>188</v>
      </c>
      <c r="E12" s="250"/>
      <c r="F12" s="271"/>
      <c r="G12" s="309"/>
      <c r="H12" s="174"/>
      <c r="I12" s="286"/>
      <c r="J12" s="119"/>
      <c r="K12" s="80"/>
      <c r="L12" s="80" t="s">
        <v>13</v>
      </c>
      <c r="M12" s="119" t="s">
        <v>13</v>
      </c>
      <c r="N12" s="80"/>
      <c r="O12" s="81" t="s">
        <v>13</v>
      </c>
      <c r="P12" s="174" t="s">
        <v>13</v>
      </c>
      <c r="Q12" s="80" t="s">
        <v>13</v>
      </c>
      <c r="R12" s="80"/>
      <c r="S12" s="80"/>
      <c r="T12" s="80" t="s">
        <v>13</v>
      </c>
      <c r="U12" s="119" t="s">
        <v>13</v>
      </c>
      <c r="V12" s="119"/>
      <c r="W12" s="422" t="s">
        <v>13</v>
      </c>
      <c r="X12" s="437" t="s">
        <v>13</v>
      </c>
      <c r="Y12" s="429" t="s">
        <v>13</v>
      </c>
      <c r="Z12" s="422" t="s">
        <v>13</v>
      </c>
      <c r="AA12" s="443" t="s">
        <v>13</v>
      </c>
      <c r="AB12" s="80" t="s">
        <v>13</v>
      </c>
      <c r="AC12" s="430" t="s">
        <v>13</v>
      </c>
    </row>
    <row r="13" spans="2:29">
      <c r="B13" s="32" t="s">
        <v>40</v>
      </c>
      <c r="C13" s="33">
        <f>1/5</f>
        <v>0.2</v>
      </c>
      <c r="D13" s="105" t="s">
        <v>188</v>
      </c>
      <c r="E13" s="252" t="s">
        <v>13</v>
      </c>
      <c r="F13" s="257" t="s">
        <v>13</v>
      </c>
      <c r="G13" s="281"/>
      <c r="H13" s="83" t="s">
        <v>13</v>
      </c>
      <c r="I13" s="86"/>
      <c r="J13" s="106"/>
      <c r="K13" s="84"/>
      <c r="L13" s="84" t="s">
        <v>13</v>
      </c>
      <c r="M13" s="107" t="s">
        <v>13</v>
      </c>
      <c r="N13" s="84"/>
      <c r="O13" s="121" t="s">
        <v>13</v>
      </c>
      <c r="P13" s="322"/>
      <c r="Q13" s="84"/>
      <c r="R13" s="84" t="s">
        <v>13</v>
      </c>
      <c r="S13" s="84"/>
      <c r="T13" s="84"/>
      <c r="U13" s="107"/>
      <c r="V13" s="106"/>
      <c r="W13" s="423" t="s">
        <v>13</v>
      </c>
      <c r="X13" s="437" t="s">
        <v>13</v>
      </c>
      <c r="Y13" s="431"/>
      <c r="Z13" s="423"/>
      <c r="AA13" s="443" t="s">
        <v>13</v>
      </c>
      <c r="AB13" s="338" t="s">
        <v>13</v>
      </c>
      <c r="AC13" s="444" t="s">
        <v>13</v>
      </c>
    </row>
    <row r="14" spans="2:29">
      <c r="B14" s="32" t="s">
        <v>46</v>
      </c>
      <c r="C14" s="33">
        <f t="shared" ref="C14:C16" si="1">1/5</f>
        <v>0.2</v>
      </c>
      <c r="D14" s="105" t="s">
        <v>188</v>
      </c>
      <c r="E14" s="252"/>
      <c r="F14" s="257"/>
      <c r="G14" s="281"/>
      <c r="H14" s="83"/>
      <c r="I14" s="86"/>
      <c r="J14" s="107" t="s">
        <v>13</v>
      </c>
      <c r="K14" s="107" t="s">
        <v>13</v>
      </c>
      <c r="L14" s="84"/>
      <c r="M14" s="107" t="s">
        <v>13</v>
      </c>
      <c r="N14" s="84"/>
      <c r="O14" s="121" t="s">
        <v>13</v>
      </c>
      <c r="P14" s="83" t="s">
        <v>13</v>
      </c>
      <c r="Q14" s="107"/>
      <c r="R14" s="84"/>
      <c r="S14" s="84"/>
      <c r="T14" s="84" t="s">
        <v>13</v>
      </c>
      <c r="U14" s="107"/>
      <c r="V14" s="107"/>
      <c r="W14" s="424" t="s">
        <v>13</v>
      </c>
      <c r="X14" s="438"/>
      <c r="Y14" s="431"/>
      <c r="Z14" s="423"/>
      <c r="AA14" s="443" t="s">
        <v>13</v>
      </c>
      <c r="AB14" s="338" t="s">
        <v>13</v>
      </c>
      <c r="AC14" s="444" t="s">
        <v>13</v>
      </c>
    </row>
    <row r="15" spans="2:29">
      <c r="B15" s="32" t="s">
        <v>52</v>
      </c>
      <c r="C15" s="33">
        <f t="shared" si="1"/>
        <v>0.2</v>
      </c>
      <c r="D15" s="105" t="s">
        <v>188</v>
      </c>
      <c r="E15" s="252"/>
      <c r="F15" s="257"/>
      <c r="G15" s="281"/>
      <c r="H15" s="83"/>
      <c r="I15" s="265" t="s">
        <v>13</v>
      </c>
      <c r="J15" s="119"/>
      <c r="K15" s="84" t="s">
        <v>13</v>
      </c>
      <c r="L15" s="84"/>
      <c r="M15" s="107" t="s">
        <v>13</v>
      </c>
      <c r="N15" s="84" t="s">
        <v>13</v>
      </c>
      <c r="O15" s="121" t="s">
        <v>13</v>
      </c>
      <c r="P15" s="174"/>
      <c r="Q15" s="84"/>
      <c r="R15" s="84"/>
      <c r="S15" s="84" t="s">
        <v>13</v>
      </c>
      <c r="T15" s="84"/>
      <c r="U15" s="107"/>
      <c r="V15" s="119"/>
      <c r="W15" s="423" t="s">
        <v>13</v>
      </c>
      <c r="X15" s="438"/>
      <c r="Y15" s="431"/>
      <c r="Z15" s="423"/>
      <c r="AA15" s="429"/>
      <c r="AB15" s="84"/>
      <c r="AC15" s="432"/>
    </row>
    <row r="16" spans="2:29">
      <c r="B16" s="34" t="s">
        <v>58</v>
      </c>
      <c r="C16" s="33">
        <f t="shared" si="1"/>
        <v>0.2</v>
      </c>
      <c r="D16" s="110" t="s">
        <v>188</v>
      </c>
      <c r="E16" s="310" t="s">
        <v>13</v>
      </c>
      <c r="F16" s="256" t="s">
        <v>13</v>
      </c>
      <c r="G16" s="263" t="s">
        <v>13</v>
      </c>
      <c r="H16" s="311"/>
      <c r="I16" s="90"/>
      <c r="J16" s="111"/>
      <c r="K16" s="112" t="s">
        <v>13</v>
      </c>
      <c r="L16" s="112"/>
      <c r="M16" s="111" t="s">
        <v>13</v>
      </c>
      <c r="N16" s="112"/>
      <c r="O16" s="124" t="s">
        <v>13</v>
      </c>
      <c r="P16" s="311"/>
      <c r="Q16" s="112"/>
      <c r="R16" s="112"/>
      <c r="S16" s="112"/>
      <c r="T16" s="112"/>
      <c r="U16" s="111"/>
      <c r="V16" s="111" t="s">
        <v>13</v>
      </c>
      <c r="W16" s="425" t="s">
        <v>13</v>
      </c>
      <c r="X16" s="439"/>
      <c r="Y16" s="433"/>
      <c r="Z16" s="447"/>
      <c r="AA16" s="433"/>
      <c r="AB16" s="445"/>
      <c r="AC16" s="434"/>
    </row>
    <row r="17" spans="1:29">
      <c r="B17" s="142" t="s">
        <v>63</v>
      </c>
      <c r="C17" s="143">
        <f>SUM(C12:C16)</f>
        <v>1</v>
      </c>
      <c r="D17" s="93" t="s">
        <v>198</v>
      </c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</row>
    <row r="18" spans="1:29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288"/>
      <c r="Q18" s="448"/>
      <c r="R18" s="448"/>
      <c r="S18" s="448"/>
      <c r="T18" s="448"/>
      <c r="U18" s="448"/>
      <c r="V18" s="7"/>
      <c r="W18" s="7"/>
      <c r="X18" s="7"/>
      <c r="Y18" s="7"/>
      <c r="Z18" s="7"/>
      <c r="AA18" s="448"/>
      <c r="AB18" s="448"/>
      <c r="AC18" s="448"/>
    </row>
    <row r="19" spans="1:29" ht="15.75" customHeight="1">
      <c r="B19" s="348" t="s">
        <v>26</v>
      </c>
      <c r="C19" s="384"/>
      <c r="D19" s="384"/>
      <c r="E19" s="348" t="s">
        <v>190</v>
      </c>
      <c r="F19" s="384"/>
      <c r="G19" s="349"/>
      <c r="H19" s="348" t="s">
        <v>191</v>
      </c>
      <c r="I19" s="384"/>
      <c r="J19" s="384"/>
      <c r="K19" s="349"/>
      <c r="L19" s="348" t="s">
        <v>192</v>
      </c>
      <c r="M19" s="384"/>
      <c r="N19" s="384"/>
      <c r="O19" s="384"/>
      <c r="P19" s="384"/>
      <c r="Q19" s="494" t="s">
        <v>199</v>
      </c>
      <c r="R19" s="488" t="s">
        <v>200</v>
      </c>
      <c r="S19" s="449"/>
      <c r="T19" s="449"/>
      <c r="U19" s="449"/>
      <c r="V19" s="449"/>
      <c r="W19" s="449"/>
      <c r="X19" s="449"/>
      <c r="Y19" s="449"/>
      <c r="Z19" s="449"/>
      <c r="AA19" s="449"/>
      <c r="AB19" s="449"/>
      <c r="AC19" s="388"/>
    </row>
    <row r="20" spans="1:29" ht="29.25">
      <c r="B20" s="94" t="s">
        <v>181</v>
      </c>
      <c r="C20" s="95" t="s">
        <v>31</v>
      </c>
      <c r="D20" s="96" t="s">
        <v>182</v>
      </c>
      <c r="E20" s="312" t="s">
        <v>96</v>
      </c>
      <c r="F20" s="313" t="s">
        <v>127</v>
      </c>
      <c r="G20" s="316" t="s">
        <v>118</v>
      </c>
      <c r="H20" s="97" t="s">
        <v>98</v>
      </c>
      <c r="I20" s="98" t="s">
        <v>159</v>
      </c>
      <c r="J20" s="287" t="s">
        <v>165</v>
      </c>
      <c r="K20" s="99" t="s">
        <v>169</v>
      </c>
      <c r="L20" s="97" t="s">
        <v>112</v>
      </c>
      <c r="M20" s="287" t="s">
        <v>131</v>
      </c>
      <c r="N20" s="98" t="s">
        <v>171</v>
      </c>
      <c r="O20" s="98" t="s">
        <v>173</v>
      </c>
      <c r="P20" s="489" t="s">
        <v>174</v>
      </c>
      <c r="Q20" s="495" t="s">
        <v>201</v>
      </c>
      <c r="R20" s="492" t="s">
        <v>163</v>
      </c>
      <c r="S20" s="450"/>
      <c r="T20" s="450"/>
      <c r="U20" s="450"/>
      <c r="V20" s="450"/>
      <c r="W20" s="450"/>
      <c r="X20" s="450"/>
      <c r="Y20" s="450"/>
      <c r="Z20" s="450"/>
      <c r="AA20" s="450"/>
      <c r="AB20" s="450"/>
      <c r="AC20" s="450"/>
    </row>
    <row r="21" spans="1:29">
      <c r="B21" s="37" t="s">
        <v>35</v>
      </c>
      <c r="C21" s="100">
        <f>1/5</f>
        <v>0.2</v>
      </c>
      <c r="D21" s="101" t="s">
        <v>188</v>
      </c>
      <c r="E21" s="252" t="s">
        <v>13</v>
      </c>
      <c r="F21" s="257"/>
      <c r="G21" s="281"/>
      <c r="H21" s="276" t="s">
        <v>13</v>
      </c>
      <c r="I21" s="279" t="s">
        <v>13</v>
      </c>
      <c r="J21" s="102"/>
      <c r="K21" s="320" t="s">
        <v>13</v>
      </c>
      <c r="L21" s="323" t="s">
        <v>13</v>
      </c>
      <c r="M21" s="102"/>
      <c r="N21" s="103" t="s">
        <v>13</v>
      </c>
      <c r="O21" s="279"/>
      <c r="P21" s="490" t="s">
        <v>13</v>
      </c>
      <c r="Q21" s="472" t="s">
        <v>13</v>
      </c>
      <c r="R21" s="493" t="s">
        <v>13</v>
      </c>
      <c r="S21" s="451"/>
      <c r="T21" s="390"/>
      <c r="U21" s="390"/>
      <c r="V21" s="451"/>
      <c r="W21" s="451"/>
      <c r="X21" s="451"/>
      <c r="Y21" s="451"/>
      <c r="Z21" s="390"/>
      <c r="AA21" s="451"/>
      <c r="AB21" s="451"/>
      <c r="AC21" s="451"/>
    </row>
    <row r="22" spans="1:29" ht="15.75" customHeight="1">
      <c r="A22" s="8"/>
      <c r="B22" s="39" t="s">
        <v>41</v>
      </c>
      <c r="C22" s="104">
        <f>1/5</f>
        <v>0.2</v>
      </c>
      <c r="D22" s="105" t="s">
        <v>188</v>
      </c>
      <c r="E22" s="252" t="s">
        <v>13</v>
      </c>
      <c r="F22" s="257"/>
      <c r="G22" s="281" t="s">
        <v>13</v>
      </c>
      <c r="H22" s="83" t="s">
        <v>13</v>
      </c>
      <c r="I22" s="265" t="s">
        <v>13</v>
      </c>
      <c r="J22" s="106"/>
      <c r="K22" s="121" t="s">
        <v>13</v>
      </c>
      <c r="L22" s="324"/>
      <c r="M22" s="107"/>
      <c r="N22" s="84" t="s">
        <v>13</v>
      </c>
      <c r="O22" s="265"/>
      <c r="P22" s="491" t="s">
        <v>13</v>
      </c>
      <c r="Q22" s="437" t="s">
        <v>13</v>
      </c>
      <c r="R22" s="419"/>
      <c r="S22" s="451"/>
      <c r="T22" s="390"/>
      <c r="U22" s="390"/>
      <c r="V22" s="451"/>
      <c r="W22" s="451"/>
      <c r="X22" s="451"/>
      <c r="Y22" s="451"/>
      <c r="Z22" s="390"/>
      <c r="AA22" s="451"/>
      <c r="AB22" s="451"/>
      <c r="AC22" s="451"/>
    </row>
    <row r="23" spans="1:29">
      <c r="B23" s="39" t="s">
        <v>47</v>
      </c>
      <c r="C23" s="104">
        <f t="shared" ref="C23:C25" si="2">1/5</f>
        <v>0.2</v>
      </c>
      <c r="D23" s="105" t="s">
        <v>188</v>
      </c>
      <c r="E23" s="252" t="s">
        <v>13</v>
      </c>
      <c r="F23" s="257" t="s">
        <v>13</v>
      </c>
      <c r="G23" s="281" t="s">
        <v>13</v>
      </c>
      <c r="H23" s="83"/>
      <c r="I23" s="265"/>
      <c r="J23" s="107" t="s">
        <v>13</v>
      </c>
      <c r="K23" s="321" t="s">
        <v>13</v>
      </c>
      <c r="L23" s="324"/>
      <c r="M23" s="107"/>
      <c r="N23" s="84"/>
      <c r="O23" s="265" t="s">
        <v>13</v>
      </c>
      <c r="P23" s="424" t="s">
        <v>13</v>
      </c>
      <c r="Q23" s="438"/>
      <c r="R23" s="493" t="s">
        <v>13</v>
      </c>
      <c r="S23" s="451"/>
      <c r="T23" s="390"/>
      <c r="U23" s="390"/>
      <c r="V23" s="451"/>
      <c r="W23" s="451"/>
      <c r="X23" s="451"/>
      <c r="Y23" s="451"/>
      <c r="Z23" s="390"/>
      <c r="AA23" s="451"/>
      <c r="AB23" s="451"/>
      <c r="AC23" s="451"/>
    </row>
    <row r="24" spans="1:29">
      <c r="B24" s="39" t="s">
        <v>53</v>
      </c>
      <c r="C24" s="104">
        <f t="shared" si="2"/>
        <v>0.2</v>
      </c>
      <c r="D24" s="105" t="s">
        <v>188</v>
      </c>
      <c r="E24" s="252"/>
      <c r="F24" s="257"/>
      <c r="G24" s="281"/>
      <c r="H24" s="83"/>
      <c r="I24" s="265"/>
      <c r="J24" s="119" t="s">
        <v>13</v>
      </c>
      <c r="K24" s="121" t="s">
        <v>13</v>
      </c>
      <c r="L24" s="324"/>
      <c r="M24" s="107" t="s">
        <v>13</v>
      </c>
      <c r="N24" s="84"/>
      <c r="O24" s="265" t="s">
        <v>13</v>
      </c>
      <c r="P24" s="479" t="s">
        <v>13</v>
      </c>
      <c r="Q24" s="438"/>
      <c r="R24" s="419"/>
      <c r="S24" s="451"/>
      <c r="T24" s="390"/>
      <c r="U24" s="390"/>
      <c r="V24" s="451"/>
      <c r="W24" s="451"/>
      <c r="X24" s="451"/>
      <c r="Y24" s="451"/>
      <c r="Z24" s="390"/>
      <c r="AA24" s="451"/>
      <c r="AB24" s="451"/>
      <c r="AC24" s="451"/>
    </row>
    <row r="25" spans="1:29">
      <c r="B25" s="108" t="s">
        <v>59</v>
      </c>
      <c r="C25" s="109">
        <f t="shared" si="2"/>
        <v>0.2</v>
      </c>
      <c r="D25" s="110" t="s">
        <v>188</v>
      </c>
      <c r="E25" s="310" t="s">
        <v>13</v>
      </c>
      <c r="F25" s="256" t="s">
        <v>13</v>
      </c>
      <c r="G25" s="263"/>
      <c r="H25" s="311"/>
      <c r="I25" s="268"/>
      <c r="J25" s="111" t="s">
        <v>13</v>
      </c>
      <c r="K25" s="124" t="s">
        <v>13</v>
      </c>
      <c r="L25" s="325"/>
      <c r="M25" s="111"/>
      <c r="N25" s="112"/>
      <c r="O25" s="268" t="s">
        <v>13</v>
      </c>
      <c r="P25" s="456" t="s">
        <v>13</v>
      </c>
      <c r="Q25" s="439"/>
      <c r="R25" s="420"/>
      <c r="S25" s="451"/>
      <c r="T25" s="390"/>
      <c r="U25" s="390"/>
      <c r="V25" s="451"/>
      <c r="W25" s="451"/>
      <c r="X25" s="451"/>
      <c r="Y25" s="451"/>
      <c r="Z25" s="390"/>
      <c r="AA25" s="451"/>
      <c r="AB25" s="451"/>
      <c r="AC25" s="451"/>
    </row>
    <row r="26" spans="1:29" ht="15.75" customHeight="1">
      <c r="B26" s="113" t="s">
        <v>64</v>
      </c>
      <c r="C26" s="114">
        <f>SUM(C21:C25)</f>
        <v>1</v>
      </c>
      <c r="D26" s="93" t="s">
        <v>198</v>
      </c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B26" s="7"/>
      <c r="AC26" s="7"/>
    </row>
    <row r="27" spans="1:29" s="7" customFormat="1"/>
    <row r="28" spans="1:29" ht="15.75" customHeight="1">
      <c r="B28" s="350" t="s">
        <v>27</v>
      </c>
      <c r="C28" s="386"/>
      <c r="D28" s="386"/>
      <c r="E28" s="480" t="s">
        <v>199</v>
      </c>
      <c r="F28" s="473" t="s">
        <v>180</v>
      </c>
      <c r="G28" s="473"/>
      <c r="H28" s="473"/>
      <c r="I28" s="473"/>
      <c r="J28" s="473"/>
      <c r="K28" s="473"/>
      <c r="L28" s="473"/>
      <c r="M28" s="474"/>
      <c r="N28" s="388"/>
      <c r="O28" s="388"/>
      <c r="P28" s="388"/>
      <c r="Q28" s="388"/>
      <c r="R28" s="388"/>
      <c r="S28" s="388"/>
      <c r="T28" s="388"/>
      <c r="U28" s="388"/>
      <c r="V28" s="388"/>
      <c r="W28" s="388"/>
      <c r="X28" s="388"/>
      <c r="Y28" s="388"/>
      <c r="Z28" s="388"/>
      <c r="AA28" s="388"/>
      <c r="AB28" s="388"/>
      <c r="AC28" s="388"/>
    </row>
    <row r="29" spans="1:29" ht="29.25">
      <c r="B29" s="146" t="s">
        <v>181</v>
      </c>
      <c r="C29" s="146" t="s">
        <v>31</v>
      </c>
      <c r="D29" s="483" t="s">
        <v>182</v>
      </c>
      <c r="E29" s="481" t="s">
        <v>201</v>
      </c>
      <c r="F29" s="485" t="s">
        <v>106</v>
      </c>
      <c r="G29" s="144" t="s">
        <v>116</v>
      </c>
      <c r="H29" s="144" t="s">
        <v>125</v>
      </c>
      <c r="I29" s="144" t="s">
        <v>133</v>
      </c>
      <c r="J29" s="144" t="s">
        <v>139</v>
      </c>
      <c r="K29" s="144" t="s">
        <v>145</v>
      </c>
      <c r="L29" s="144" t="s">
        <v>151</v>
      </c>
      <c r="M29" s="475" t="s">
        <v>157</v>
      </c>
      <c r="N29" s="450"/>
      <c r="O29" s="450"/>
      <c r="P29" s="450"/>
      <c r="Q29" s="450"/>
      <c r="R29" s="450"/>
      <c r="S29" s="450"/>
      <c r="T29" s="450"/>
      <c r="U29" s="450"/>
      <c r="V29" s="450"/>
      <c r="W29" s="450"/>
      <c r="X29" s="450"/>
      <c r="Y29" s="450"/>
      <c r="Z29" s="450"/>
      <c r="AA29" s="450"/>
      <c r="AB29" s="450"/>
      <c r="AC29" s="450"/>
    </row>
    <row r="30" spans="1:29">
      <c r="B30" s="145" t="s">
        <v>36</v>
      </c>
      <c r="C30" s="148">
        <f>1/5</f>
        <v>0.2</v>
      </c>
      <c r="D30" s="467" t="s">
        <v>188</v>
      </c>
      <c r="E30" s="482" t="s">
        <v>13</v>
      </c>
      <c r="F30" s="486" t="s">
        <v>13</v>
      </c>
      <c r="G30" s="339" t="s">
        <v>13</v>
      </c>
      <c r="H30" s="339" t="s">
        <v>13</v>
      </c>
      <c r="I30" s="339" t="s">
        <v>13</v>
      </c>
      <c r="J30" s="339" t="s">
        <v>13</v>
      </c>
      <c r="K30" s="339" t="s">
        <v>13</v>
      </c>
      <c r="L30" s="339" t="s">
        <v>13</v>
      </c>
      <c r="M30" s="476" t="s">
        <v>13</v>
      </c>
      <c r="N30" s="451"/>
      <c r="O30" s="451"/>
      <c r="P30" s="451"/>
      <c r="Q30" s="452"/>
      <c r="R30" s="451"/>
      <c r="S30" s="451"/>
      <c r="T30" s="451"/>
      <c r="U30" s="452"/>
      <c r="V30" s="451"/>
      <c r="W30" s="451"/>
      <c r="X30" s="451"/>
      <c r="Y30" s="452"/>
      <c r="Z30" s="451"/>
      <c r="AA30" s="451"/>
      <c r="AB30" s="451"/>
      <c r="AC30" s="452"/>
    </row>
    <row r="31" spans="1:29" ht="15.75" customHeight="1">
      <c r="A31" s="8"/>
      <c r="B31" s="45" t="s">
        <v>42</v>
      </c>
      <c r="C31" s="46">
        <f>1/5</f>
        <v>0.2</v>
      </c>
      <c r="D31" s="468" t="s">
        <v>188</v>
      </c>
      <c r="E31" s="482" t="s">
        <v>13</v>
      </c>
      <c r="F31" s="486" t="s">
        <v>13</v>
      </c>
      <c r="G31" s="339" t="s">
        <v>13</v>
      </c>
      <c r="H31" s="339" t="s">
        <v>13</v>
      </c>
      <c r="I31" s="339" t="s">
        <v>13</v>
      </c>
      <c r="J31" s="339" t="s">
        <v>13</v>
      </c>
      <c r="K31" s="339" t="s">
        <v>13</v>
      </c>
      <c r="L31" s="339" t="s">
        <v>13</v>
      </c>
      <c r="M31" s="476" t="s">
        <v>13</v>
      </c>
      <c r="N31" s="451"/>
      <c r="O31" s="451"/>
      <c r="P31" s="451"/>
      <c r="Q31" s="452"/>
      <c r="R31" s="451"/>
      <c r="S31" s="451"/>
      <c r="T31" s="451"/>
      <c r="U31" s="452"/>
      <c r="V31" s="451"/>
      <c r="W31" s="451"/>
      <c r="X31" s="451"/>
      <c r="Y31" s="452"/>
      <c r="Z31" s="451"/>
      <c r="AA31" s="451"/>
      <c r="AB31" s="451"/>
      <c r="AC31" s="452"/>
    </row>
    <row r="32" spans="1:29">
      <c r="B32" s="45" t="s">
        <v>48</v>
      </c>
      <c r="C32" s="46">
        <f t="shared" ref="C32:C34" si="3">1/5</f>
        <v>0.2</v>
      </c>
      <c r="D32" s="468" t="s">
        <v>188</v>
      </c>
      <c r="E32" s="419"/>
      <c r="F32" s="486" t="s">
        <v>13</v>
      </c>
      <c r="G32" s="339" t="s">
        <v>13</v>
      </c>
      <c r="H32" s="339" t="s">
        <v>13</v>
      </c>
      <c r="I32" s="339" t="s">
        <v>13</v>
      </c>
      <c r="J32" s="339" t="s">
        <v>13</v>
      </c>
      <c r="K32" s="339" t="s">
        <v>13</v>
      </c>
      <c r="L32" s="339" t="s">
        <v>13</v>
      </c>
      <c r="M32" s="476" t="s">
        <v>13</v>
      </c>
      <c r="N32" s="451"/>
      <c r="O32" s="451"/>
      <c r="P32" s="451"/>
      <c r="Q32" s="452"/>
      <c r="R32" s="451"/>
      <c r="S32" s="451"/>
      <c r="T32" s="451"/>
      <c r="U32" s="452"/>
      <c r="V32" s="451"/>
      <c r="W32" s="451"/>
      <c r="X32" s="451"/>
      <c r="Y32" s="452"/>
      <c r="Z32" s="451"/>
      <c r="AA32" s="451"/>
      <c r="AB32" s="451"/>
      <c r="AC32" s="452"/>
    </row>
    <row r="33" spans="2:29">
      <c r="B33" s="45" t="s">
        <v>54</v>
      </c>
      <c r="C33" s="46">
        <f t="shared" si="3"/>
        <v>0.2</v>
      </c>
      <c r="D33" s="468" t="s">
        <v>188</v>
      </c>
      <c r="E33" s="418"/>
      <c r="F33" s="486" t="s">
        <v>13</v>
      </c>
      <c r="G33" s="339" t="s">
        <v>13</v>
      </c>
      <c r="H33" s="339" t="s">
        <v>13</v>
      </c>
      <c r="I33" s="339" t="s">
        <v>13</v>
      </c>
      <c r="J33" s="339" t="s">
        <v>13</v>
      </c>
      <c r="K33" s="339" t="s">
        <v>13</v>
      </c>
      <c r="L33" s="339" t="s">
        <v>13</v>
      </c>
      <c r="M33" s="476" t="s">
        <v>13</v>
      </c>
      <c r="N33" s="451"/>
      <c r="O33" s="451"/>
      <c r="P33" s="451"/>
      <c r="Q33" s="452"/>
      <c r="R33" s="451"/>
      <c r="S33" s="451"/>
      <c r="T33" s="451"/>
      <c r="U33" s="452"/>
      <c r="V33" s="451"/>
      <c r="W33" s="451"/>
      <c r="X33" s="451"/>
      <c r="Y33" s="452"/>
      <c r="Z33" s="451"/>
      <c r="AA33" s="451"/>
      <c r="AB33" s="451"/>
      <c r="AC33" s="452"/>
    </row>
    <row r="34" spans="2:29">
      <c r="B34" s="45" t="s">
        <v>60</v>
      </c>
      <c r="C34" s="46">
        <f t="shared" si="3"/>
        <v>0.2</v>
      </c>
      <c r="D34" s="484" t="s">
        <v>188</v>
      </c>
      <c r="E34" s="420"/>
      <c r="F34" s="487" t="s">
        <v>13</v>
      </c>
      <c r="G34" s="477" t="s">
        <v>13</v>
      </c>
      <c r="H34" s="477" t="s">
        <v>13</v>
      </c>
      <c r="I34" s="477" t="s">
        <v>13</v>
      </c>
      <c r="J34" s="477" t="s">
        <v>13</v>
      </c>
      <c r="K34" s="477" t="s">
        <v>13</v>
      </c>
      <c r="L34" s="477" t="s">
        <v>13</v>
      </c>
      <c r="M34" s="478" t="s">
        <v>13</v>
      </c>
      <c r="N34" s="451"/>
      <c r="O34" s="451"/>
      <c r="P34" s="451"/>
      <c r="Q34" s="452"/>
      <c r="R34" s="451"/>
      <c r="S34" s="451"/>
      <c r="T34" s="451"/>
      <c r="U34" s="452"/>
      <c r="V34" s="451"/>
      <c r="W34" s="451"/>
      <c r="X34" s="451"/>
      <c r="Y34" s="452"/>
      <c r="Z34" s="451"/>
      <c r="AA34" s="451"/>
      <c r="AB34" s="451"/>
      <c r="AC34" s="452"/>
    </row>
    <row r="35" spans="2:29" ht="15.75" customHeight="1">
      <c r="B35" s="47" t="s">
        <v>65</v>
      </c>
      <c r="C35" s="48">
        <f>SUM(C30:C34)</f>
        <v>1</v>
      </c>
      <c r="D35" s="93" t="s">
        <v>198</v>
      </c>
      <c r="E35" s="60"/>
      <c r="F35" s="60"/>
      <c r="G35" s="60"/>
      <c r="H35" s="60"/>
      <c r="I35" s="60"/>
      <c r="J35" s="60"/>
      <c r="K35" s="60"/>
      <c r="L35" s="60"/>
      <c r="M35" s="60"/>
      <c r="N35" s="452"/>
      <c r="O35" s="452"/>
      <c r="P35" s="452"/>
      <c r="Q35" s="452"/>
      <c r="R35" s="452"/>
      <c r="S35" s="452"/>
      <c r="T35" s="452"/>
      <c r="U35" s="452"/>
      <c r="V35" s="452"/>
      <c r="W35" s="452"/>
      <c r="X35" s="452"/>
      <c r="Y35" s="452"/>
      <c r="Z35" s="452"/>
      <c r="AA35" s="452"/>
      <c r="AB35" s="452"/>
      <c r="AC35" s="452"/>
    </row>
    <row r="36" spans="2:29" s="7" customFormat="1">
      <c r="N36" s="453"/>
      <c r="O36" s="453"/>
      <c r="P36" s="453"/>
      <c r="Q36" s="453"/>
      <c r="R36" s="453"/>
      <c r="S36" s="453"/>
      <c r="T36" s="453"/>
      <c r="U36" s="453"/>
      <c r="V36" s="453"/>
      <c r="W36" s="453"/>
      <c r="X36" s="453"/>
      <c r="Y36" s="453"/>
      <c r="Z36" s="453"/>
      <c r="AA36" s="453"/>
      <c r="AB36" s="453"/>
      <c r="AC36" s="453"/>
    </row>
    <row r="37" spans="2:29" ht="17.25" customHeight="1">
      <c r="B37" s="352" t="s">
        <v>28</v>
      </c>
      <c r="C37" s="387"/>
      <c r="D37" s="387"/>
      <c r="E37" s="461" t="s">
        <v>192</v>
      </c>
      <c r="F37" s="462"/>
      <c r="G37" s="462"/>
      <c r="H37" s="462"/>
      <c r="I37" s="462"/>
      <c r="J37" s="470" t="s">
        <v>199</v>
      </c>
      <c r="K37" s="461" t="s">
        <v>180</v>
      </c>
      <c r="L37" s="462"/>
      <c r="M37" s="463"/>
      <c r="N37" s="388"/>
      <c r="O37" s="388"/>
      <c r="P37" s="388"/>
      <c r="Q37" s="388"/>
      <c r="R37" s="388"/>
      <c r="S37" s="388"/>
      <c r="T37" s="388"/>
      <c r="U37" s="388"/>
      <c r="V37" s="388"/>
      <c r="W37" s="388"/>
      <c r="X37" s="388"/>
      <c r="Y37" s="388"/>
      <c r="Z37" s="388"/>
      <c r="AA37" s="388"/>
      <c r="AB37" s="388"/>
      <c r="AC37" s="388"/>
    </row>
    <row r="38" spans="2:29" ht="29.25">
      <c r="B38" s="115" t="s">
        <v>181</v>
      </c>
      <c r="C38" s="116" t="s">
        <v>31</v>
      </c>
      <c r="D38" s="466" t="s">
        <v>182</v>
      </c>
      <c r="E38" s="464" t="s">
        <v>202</v>
      </c>
      <c r="F38" s="117" t="s">
        <v>137</v>
      </c>
      <c r="G38" s="117" t="s">
        <v>149</v>
      </c>
      <c r="H38" s="117" t="s">
        <v>171</v>
      </c>
      <c r="I38" s="454" t="s">
        <v>174</v>
      </c>
      <c r="J38" s="471" t="s">
        <v>201</v>
      </c>
      <c r="K38" s="464" t="s">
        <v>145</v>
      </c>
      <c r="L38" s="117" t="s">
        <v>151</v>
      </c>
      <c r="M38" s="465" t="s">
        <v>157</v>
      </c>
      <c r="N38" s="450"/>
      <c r="O38" s="450"/>
      <c r="P38" s="450"/>
      <c r="Q38" s="450"/>
      <c r="R38" s="450"/>
      <c r="S38" s="450"/>
      <c r="T38" s="450"/>
      <c r="U38" s="450"/>
      <c r="V38" s="450"/>
      <c r="W38" s="450"/>
      <c r="X38" s="450"/>
      <c r="Y38" s="450"/>
      <c r="Z38" s="450"/>
      <c r="AA38" s="450"/>
      <c r="AB38" s="450"/>
      <c r="AC38" s="450"/>
    </row>
    <row r="39" spans="2:29">
      <c r="B39" s="49" t="s">
        <v>37</v>
      </c>
      <c r="C39" s="118">
        <v>0.25</v>
      </c>
      <c r="D39" s="467" t="s">
        <v>188</v>
      </c>
      <c r="E39" s="429" t="s">
        <v>13</v>
      </c>
      <c r="F39" s="80"/>
      <c r="G39" s="80" t="s">
        <v>13</v>
      </c>
      <c r="H39" s="80"/>
      <c r="I39" s="422" t="s">
        <v>13</v>
      </c>
      <c r="J39" s="472" t="s">
        <v>13</v>
      </c>
      <c r="K39" s="497" t="s">
        <v>13</v>
      </c>
      <c r="L39" s="499" t="s">
        <v>13</v>
      </c>
      <c r="M39" s="469" t="s">
        <v>13</v>
      </c>
      <c r="N39" s="451"/>
      <c r="O39" s="451"/>
      <c r="P39" s="451"/>
      <c r="Q39" s="451"/>
      <c r="R39" s="451"/>
      <c r="S39" s="451"/>
      <c r="T39" s="451"/>
      <c r="U39" s="451"/>
      <c r="V39" s="451"/>
      <c r="W39" s="451"/>
      <c r="X39" s="451"/>
      <c r="Y39" s="451"/>
      <c r="Z39" s="451"/>
      <c r="AA39" s="451"/>
      <c r="AB39" s="451"/>
      <c r="AC39" s="451"/>
    </row>
    <row r="40" spans="2:29">
      <c r="B40" s="51" t="s">
        <v>43</v>
      </c>
      <c r="C40" s="120">
        <f t="shared" ref="C40:C42" si="4">1/4</f>
        <v>0.25</v>
      </c>
      <c r="D40" s="468" t="s">
        <v>188</v>
      </c>
      <c r="E40" s="431" t="s">
        <v>13</v>
      </c>
      <c r="F40" s="84" t="s">
        <v>13</v>
      </c>
      <c r="G40" s="84"/>
      <c r="H40" s="84"/>
      <c r="I40" s="423" t="s">
        <v>13</v>
      </c>
      <c r="J40" s="437" t="s">
        <v>13</v>
      </c>
      <c r="K40" s="498" t="s">
        <v>13</v>
      </c>
      <c r="L40" s="500" t="s">
        <v>13</v>
      </c>
      <c r="M40" s="496" t="s">
        <v>13</v>
      </c>
      <c r="N40" s="451"/>
      <c r="O40" s="451"/>
      <c r="P40" s="451"/>
      <c r="Q40" s="451"/>
      <c r="R40" s="451"/>
      <c r="S40" s="451"/>
      <c r="T40" s="451"/>
      <c r="U40" s="451"/>
      <c r="V40" s="451"/>
      <c r="W40" s="451"/>
      <c r="X40" s="451"/>
      <c r="Y40" s="451"/>
      <c r="Z40" s="451"/>
      <c r="AA40" s="451"/>
      <c r="AB40" s="451"/>
      <c r="AC40" s="451"/>
    </row>
    <row r="41" spans="2:29">
      <c r="B41" s="51" t="s">
        <v>49</v>
      </c>
      <c r="C41" s="120">
        <f t="shared" si="4"/>
        <v>0.25</v>
      </c>
      <c r="D41" s="468" t="s">
        <v>188</v>
      </c>
      <c r="E41" s="431"/>
      <c r="F41" s="84"/>
      <c r="G41" s="84"/>
      <c r="H41" s="84" t="s">
        <v>13</v>
      </c>
      <c r="I41" s="423" t="s">
        <v>13</v>
      </c>
      <c r="J41" s="438"/>
      <c r="K41" s="431"/>
      <c r="L41" s="84"/>
      <c r="M41" s="432"/>
      <c r="N41" s="451"/>
      <c r="O41" s="451"/>
      <c r="P41" s="451"/>
      <c r="Q41" s="451"/>
      <c r="R41" s="451"/>
      <c r="S41" s="451"/>
      <c r="T41" s="451"/>
      <c r="U41" s="451"/>
      <c r="V41" s="451"/>
      <c r="W41" s="451"/>
      <c r="X41" s="451"/>
      <c r="Y41" s="451"/>
      <c r="Z41" s="451"/>
      <c r="AA41" s="451"/>
      <c r="AB41" s="451"/>
      <c r="AC41" s="451"/>
    </row>
    <row r="42" spans="2:29">
      <c r="B42" s="122" t="s">
        <v>55</v>
      </c>
      <c r="C42" s="123">
        <f t="shared" si="4"/>
        <v>0.25</v>
      </c>
      <c r="D42" s="468" t="s">
        <v>188</v>
      </c>
      <c r="E42" s="433"/>
      <c r="F42" s="445"/>
      <c r="G42" s="445"/>
      <c r="H42" s="445" t="s">
        <v>13</v>
      </c>
      <c r="I42" s="447" t="s">
        <v>13</v>
      </c>
      <c r="J42" s="439"/>
      <c r="K42" s="433"/>
      <c r="L42" s="445"/>
      <c r="M42" s="434"/>
      <c r="N42" s="451"/>
      <c r="O42" s="451"/>
      <c r="P42" s="451"/>
      <c r="Q42" s="451"/>
      <c r="R42" s="451"/>
      <c r="S42" s="451"/>
      <c r="T42" s="451"/>
      <c r="U42" s="451"/>
      <c r="V42" s="451"/>
      <c r="W42" s="451"/>
      <c r="X42" s="451"/>
      <c r="Y42" s="451"/>
      <c r="Z42" s="451"/>
      <c r="AA42" s="451"/>
      <c r="AB42" s="451"/>
      <c r="AC42" s="451"/>
    </row>
    <row r="43" spans="2:29">
      <c r="B43" s="125" t="s">
        <v>61</v>
      </c>
      <c r="C43" s="126">
        <f>SUM(C39:C42)</f>
        <v>1</v>
      </c>
      <c r="D43" s="93" t="s">
        <v>189</v>
      </c>
      <c r="E43" s="60"/>
      <c r="F43" s="60"/>
      <c r="G43" s="60"/>
      <c r="H43" s="60"/>
      <c r="I43" s="60"/>
      <c r="J43" s="60"/>
      <c r="K43" s="60"/>
      <c r="L43" s="60"/>
      <c r="M43" s="60"/>
      <c r="N43" s="452"/>
      <c r="O43" s="452"/>
      <c r="P43" s="452"/>
      <c r="Q43" s="452"/>
      <c r="R43" s="452"/>
      <c r="S43" s="452"/>
      <c r="T43" s="452"/>
      <c r="U43" s="452"/>
      <c r="V43" s="452"/>
      <c r="W43" s="452"/>
      <c r="X43" s="452"/>
      <c r="Y43" s="452"/>
      <c r="Z43" s="452"/>
      <c r="AA43" s="452"/>
      <c r="AB43" s="452"/>
      <c r="AC43" s="452"/>
    </row>
    <row r="44" spans="2:29"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452"/>
      <c r="O44" s="452"/>
      <c r="P44" s="452"/>
      <c r="Q44" s="452"/>
      <c r="R44" s="452"/>
      <c r="S44" s="452"/>
      <c r="T44" s="452"/>
      <c r="U44" s="452"/>
      <c r="V44" s="452"/>
      <c r="W44" s="452"/>
      <c r="X44" s="452"/>
      <c r="Y44" s="452"/>
      <c r="Z44" s="452"/>
      <c r="AA44" s="452"/>
      <c r="AB44" s="452"/>
      <c r="AC44" s="452"/>
    </row>
    <row r="45" spans="2:29" ht="18.75" customHeight="1">
      <c r="B45" s="342" t="s">
        <v>29</v>
      </c>
      <c r="C45" s="385"/>
      <c r="D45" s="343"/>
      <c r="E45" s="342" t="s">
        <v>190</v>
      </c>
      <c r="F45" s="385"/>
      <c r="G45" s="343"/>
      <c r="H45" s="342" t="s">
        <v>191</v>
      </c>
      <c r="I45" s="385"/>
      <c r="J45" s="343"/>
      <c r="K45" s="342" t="s">
        <v>203</v>
      </c>
      <c r="L45" s="385"/>
      <c r="M45" s="457" t="s">
        <v>179</v>
      </c>
      <c r="N45" s="388"/>
      <c r="O45" s="388"/>
      <c r="P45" s="388"/>
      <c r="Q45" s="388"/>
      <c r="R45" s="388"/>
      <c r="S45" s="388"/>
      <c r="T45" s="388"/>
      <c r="U45" s="388"/>
      <c r="V45" s="388"/>
      <c r="W45" s="388"/>
      <c r="X45" s="388"/>
      <c r="Y45" s="388"/>
      <c r="Z45" s="388"/>
      <c r="AA45" s="388"/>
      <c r="AB45" s="388"/>
      <c r="AC45" s="388"/>
    </row>
    <row r="46" spans="2:29" ht="29.25">
      <c r="B46" s="127" t="s">
        <v>181</v>
      </c>
      <c r="C46" s="128" t="s">
        <v>31</v>
      </c>
      <c r="D46" s="129" t="s">
        <v>182</v>
      </c>
      <c r="E46" s="314" t="s">
        <v>204</v>
      </c>
      <c r="F46" s="315" t="s">
        <v>96</v>
      </c>
      <c r="G46" s="317" t="s">
        <v>108</v>
      </c>
      <c r="H46" s="130" t="s">
        <v>120</v>
      </c>
      <c r="I46" s="131" t="s">
        <v>159</v>
      </c>
      <c r="J46" s="132" t="s">
        <v>169</v>
      </c>
      <c r="K46" s="130" t="s">
        <v>171</v>
      </c>
      <c r="L46" s="460" t="s">
        <v>174</v>
      </c>
      <c r="M46" s="458" t="s">
        <v>123</v>
      </c>
      <c r="N46" s="450"/>
      <c r="O46" s="450"/>
      <c r="P46" s="450"/>
      <c r="Q46" s="450"/>
      <c r="R46" s="450"/>
      <c r="S46" s="450"/>
      <c r="T46" s="450"/>
      <c r="U46" s="450"/>
      <c r="V46" s="450"/>
      <c r="W46" s="450"/>
      <c r="X46" s="450"/>
      <c r="Y46" s="450"/>
      <c r="Z46" s="450"/>
      <c r="AA46" s="450"/>
      <c r="AB46" s="450"/>
      <c r="AC46" s="450"/>
    </row>
    <row r="47" spans="2:29">
      <c r="B47" s="54" t="s">
        <v>38</v>
      </c>
      <c r="C47" s="55">
        <f>1/5</f>
        <v>0.2</v>
      </c>
      <c r="D47" s="101" t="s">
        <v>188</v>
      </c>
      <c r="E47" s="318"/>
      <c r="F47" s="277" t="s">
        <v>13</v>
      </c>
      <c r="G47" s="280" t="s">
        <v>13</v>
      </c>
      <c r="H47" s="276" t="s">
        <v>13</v>
      </c>
      <c r="I47" s="103" t="s">
        <v>13</v>
      </c>
      <c r="J47" s="320" t="s">
        <v>13</v>
      </c>
      <c r="K47" s="276" t="s">
        <v>13</v>
      </c>
      <c r="L47" s="455" t="s">
        <v>13</v>
      </c>
      <c r="M47" s="459" t="s">
        <v>13</v>
      </c>
      <c r="N47" s="451"/>
      <c r="O47" s="451"/>
      <c r="P47" s="451"/>
      <c r="Q47" s="451"/>
      <c r="R47" s="451"/>
      <c r="S47" s="451"/>
      <c r="T47" s="451"/>
      <c r="U47" s="451"/>
      <c r="V47" s="451"/>
      <c r="W47" s="451"/>
      <c r="X47" s="451"/>
      <c r="Y47" s="452"/>
      <c r="Z47" s="451"/>
      <c r="AA47" s="451"/>
      <c r="AB47" s="451"/>
      <c r="AC47" s="452"/>
    </row>
    <row r="48" spans="2:29">
      <c r="B48" s="56" t="s">
        <v>44</v>
      </c>
      <c r="C48" s="57">
        <f>1/5</f>
        <v>0.2</v>
      </c>
      <c r="D48" s="105" t="s">
        <v>188</v>
      </c>
      <c r="E48" s="319"/>
      <c r="F48" s="257"/>
      <c r="G48" s="281"/>
      <c r="H48" s="83" t="s">
        <v>13</v>
      </c>
      <c r="I48" s="84" t="s">
        <v>13</v>
      </c>
      <c r="J48" s="121" t="s">
        <v>13</v>
      </c>
      <c r="K48" s="83" t="s">
        <v>13</v>
      </c>
      <c r="L48" s="422" t="s">
        <v>13</v>
      </c>
      <c r="M48" s="418"/>
      <c r="N48" s="451"/>
      <c r="O48" s="451"/>
      <c r="P48" s="451"/>
      <c r="Q48" s="451"/>
      <c r="R48" s="451"/>
      <c r="S48" s="451"/>
      <c r="T48" s="451"/>
      <c r="U48" s="451"/>
      <c r="V48" s="451"/>
      <c r="W48" s="451"/>
      <c r="X48" s="451"/>
      <c r="Y48" s="451"/>
      <c r="Z48" s="451"/>
      <c r="AA48" s="451"/>
      <c r="AB48" s="451"/>
      <c r="AC48" s="451"/>
    </row>
    <row r="49" spans="2:29">
      <c r="B49" s="56" t="s">
        <v>50</v>
      </c>
      <c r="C49" s="57">
        <v>0.2</v>
      </c>
      <c r="D49" s="105" t="s">
        <v>188</v>
      </c>
      <c r="E49" s="252"/>
      <c r="F49" s="253"/>
      <c r="G49" s="281"/>
      <c r="H49" s="83"/>
      <c r="I49" s="84"/>
      <c r="J49" s="321" t="s">
        <v>13</v>
      </c>
      <c r="K49" s="83" t="s">
        <v>13</v>
      </c>
      <c r="L49" s="423" t="s">
        <v>13</v>
      </c>
      <c r="M49" s="419"/>
      <c r="N49" s="451"/>
      <c r="O49" s="451"/>
      <c r="P49" s="451"/>
      <c r="Q49" s="451"/>
      <c r="R49" s="451"/>
      <c r="S49" s="451"/>
      <c r="T49" s="451"/>
      <c r="U49" s="451"/>
      <c r="V49" s="451"/>
      <c r="W49" s="451"/>
      <c r="X49" s="451"/>
      <c r="Y49" s="452"/>
      <c r="Z49" s="451"/>
      <c r="AA49" s="451"/>
      <c r="AB49" s="451"/>
      <c r="AC49" s="452"/>
    </row>
    <row r="50" spans="2:29">
      <c r="B50" s="56" t="s">
        <v>56</v>
      </c>
      <c r="C50" s="57">
        <v>0.2</v>
      </c>
      <c r="D50" s="105" t="s">
        <v>188</v>
      </c>
      <c r="E50" s="250"/>
      <c r="F50" s="257"/>
      <c r="G50" s="281"/>
      <c r="H50" s="83"/>
      <c r="I50" s="84" t="s">
        <v>13</v>
      </c>
      <c r="J50" s="121" t="s">
        <v>13</v>
      </c>
      <c r="K50" s="83"/>
      <c r="L50" s="423" t="s">
        <v>13</v>
      </c>
      <c r="M50" s="419"/>
      <c r="N50" s="451"/>
      <c r="O50" s="451"/>
      <c r="P50" s="451"/>
      <c r="Q50" s="451"/>
      <c r="R50" s="451"/>
      <c r="S50" s="451"/>
      <c r="T50" s="451"/>
      <c r="U50" s="451"/>
      <c r="V50" s="451"/>
      <c r="W50" s="451"/>
      <c r="X50" s="451"/>
      <c r="Y50" s="452"/>
      <c r="Z50" s="451"/>
      <c r="AA50" s="451"/>
      <c r="AB50" s="451"/>
      <c r="AC50" s="452"/>
    </row>
    <row r="51" spans="2:29">
      <c r="B51" s="133" t="s">
        <v>62</v>
      </c>
      <c r="C51" s="134">
        <f t="shared" ref="C51" si="5">1/5</f>
        <v>0.2</v>
      </c>
      <c r="D51" s="105" t="s">
        <v>188</v>
      </c>
      <c r="E51" s="310" t="s">
        <v>13</v>
      </c>
      <c r="F51" s="256"/>
      <c r="G51" s="263"/>
      <c r="H51" s="311"/>
      <c r="I51" s="112" t="s">
        <v>13</v>
      </c>
      <c r="J51" s="124" t="s">
        <v>13</v>
      </c>
      <c r="K51" s="311" t="s">
        <v>13</v>
      </c>
      <c r="L51" s="425" t="s">
        <v>13</v>
      </c>
      <c r="M51" s="420"/>
      <c r="N51" s="451"/>
      <c r="O51" s="451"/>
      <c r="P51" s="451"/>
      <c r="Q51" s="451"/>
      <c r="R51" s="451"/>
      <c r="S51" s="451"/>
      <c r="T51" s="451"/>
      <c r="U51" s="451"/>
      <c r="V51" s="451"/>
      <c r="W51" s="451"/>
      <c r="X51" s="451"/>
      <c r="Y51" s="452"/>
      <c r="Z51" s="451"/>
      <c r="AA51" s="451"/>
      <c r="AB51" s="451"/>
      <c r="AC51" s="452"/>
    </row>
    <row r="52" spans="2:29">
      <c r="B52" s="135" t="s">
        <v>66</v>
      </c>
      <c r="C52" s="136">
        <f>SUM(C47:C51)</f>
        <v>1</v>
      </c>
      <c r="D52" s="93" t="s">
        <v>198</v>
      </c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B52" s="7"/>
      <c r="AC52" s="7"/>
    </row>
    <row r="53" spans="2:29" s="7" customFormat="1"/>
    <row r="54" spans="2:29" s="7" customFormat="1"/>
    <row r="55" spans="2:29" s="7" customFormat="1"/>
    <row r="56" spans="2:29" s="7" customFormat="1"/>
  </sheetData>
  <mergeCells count="24">
    <mergeCell ref="B28:D28"/>
    <mergeCell ref="B37:D37"/>
    <mergeCell ref="E37:I37"/>
    <mergeCell ref="B45:D45"/>
    <mergeCell ref="B2:D2"/>
    <mergeCell ref="B10:D10"/>
    <mergeCell ref="B19:D19"/>
    <mergeCell ref="H10:O10"/>
    <mergeCell ref="H19:K19"/>
    <mergeCell ref="H45:J45"/>
    <mergeCell ref="L19:P19"/>
    <mergeCell ref="K45:L45"/>
    <mergeCell ref="H2:N2"/>
    <mergeCell ref="F28:M28"/>
    <mergeCell ref="K37:M37"/>
    <mergeCell ref="Y10:Z10"/>
    <mergeCell ref="E2:G2"/>
    <mergeCell ref="E10:G10"/>
    <mergeCell ref="E19:G19"/>
    <mergeCell ref="E45:G45"/>
    <mergeCell ref="O2:V2"/>
    <mergeCell ref="P10:W10"/>
    <mergeCell ref="Y2:AA2"/>
    <mergeCell ref="AA10:AC10"/>
  </mergeCells>
  <conditionalFormatting sqref="E4">
    <cfRule type="containsText" dxfId="2" priority="3" operator="containsText" text="X">
      <formula>NOT(ISERROR(SEARCH("X",E4)))</formula>
    </cfRule>
  </conditionalFormatting>
  <conditionalFormatting sqref="E1:AC1 E19 E52:AC1048576 E45 H19 L19 H45 K45 E10:P10 X10:Y10 Q19:AC19 E37 M45:AC45 E2:W2 AB2:AC2 H46:AC51 E3:AC9 AA10 E11:AC18 J37:K37 E38:AC44 E26:AC27 H20:AC25 E29:AC36 E28:F28 N28:AC28 N37:AC37">
    <cfRule type="endsWith" dxfId="1" priority="2" operator="endsWith" text="X">
      <formula>RIGHT(E1,LEN("X"))="X"</formula>
    </cfRule>
  </conditionalFormatting>
  <conditionalFormatting sqref="E1:AC1 E45 H45 E19:H19 L19 K45 E10:P10 X10:Y10 Q19:AC19 E37 M45:AC45 E2:W2 AB2:AC2 E46:AC1048576 E3:AC9 AA10 E11:AC18 J37:K37 E38:AC44 E20:AC27 E29:AC36 E28:F28 N28:AC28 N37:AC37">
    <cfRule type="endsWith" dxfId="0" priority="1" operator="endsWith" text="X">
      <formula>RIGHT(E1,LEN("X"))="X"</formula>
    </cfRule>
  </conditionalFormatting>
  <pageMargins left="0.7" right="0.7" top="0.75" bottom="0.75" header="0.3" footer="0.3"/>
  <pageSetup paperSize="9" orientation="landscape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zulema sousa</dc:creator>
  <cp:keywords/>
  <dc:description/>
  <cp:lastModifiedBy>Jesus Pineda Escriva</cp:lastModifiedBy>
  <cp:revision/>
  <dcterms:created xsi:type="dcterms:W3CDTF">2025-11-21T03:49:12Z</dcterms:created>
  <dcterms:modified xsi:type="dcterms:W3CDTF">2026-06-17T19:58:02Z</dcterms:modified>
  <cp:category/>
  <cp:contentStatus/>
</cp:coreProperties>
</file>